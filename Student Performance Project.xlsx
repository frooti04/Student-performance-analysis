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283a02369bc20066/Documents/"/>
    </mc:Choice>
  </mc:AlternateContent>
  <xr:revisionPtr revIDLastSave="745" documentId="8_{8B8B53BD-665C-4AF9-9BBE-AEDD9D9BB192}" xr6:coauthVersionLast="47" xr6:coauthVersionMax="47" xr10:uidLastSave="{7F0CD396-B15C-4B3B-A232-25DF04982F28}"/>
  <bookViews>
    <workbookView xWindow="-108" yWindow="-108" windowWidth="23256" windowHeight="13176" activeTab="2" xr2:uid="{EDF493F8-AFED-4987-9C8D-DB5EB4AFEB64}"/>
  </bookViews>
  <sheets>
    <sheet name="Raw Data" sheetId="1" r:id="rId1"/>
    <sheet name="Analysis" sheetId="3" r:id="rId2"/>
    <sheet name="Dashboard" sheetId="4" r:id="rId3"/>
  </sheets>
  <definedNames>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4" l="1"/>
  <c r="F5" i="4"/>
  <c r="D5" i="4"/>
  <c r="B5" i="4"/>
  <c r="G3" i="1"/>
  <c r="H3" i="1" s="1"/>
  <c r="I3" i="1" s="1"/>
  <c r="G4" i="1"/>
  <c r="H4" i="1" s="1"/>
  <c r="I4" i="1" s="1"/>
  <c r="G5" i="1"/>
  <c r="H5" i="1" s="1"/>
  <c r="I5" i="1" s="1"/>
  <c r="G6" i="1"/>
  <c r="H6" i="1" s="1"/>
  <c r="I6" i="1" s="1"/>
  <c r="G7" i="1"/>
  <c r="H7" i="1" s="1"/>
  <c r="I7" i="1" s="1"/>
  <c r="G8" i="1"/>
  <c r="H8" i="1" s="1"/>
  <c r="I8" i="1" s="1"/>
  <c r="G9" i="1"/>
  <c r="H9" i="1" s="1"/>
  <c r="I9" i="1" s="1"/>
  <c r="G10" i="1"/>
  <c r="H10" i="1" s="1"/>
  <c r="I10" i="1" s="1"/>
  <c r="G11" i="1"/>
  <c r="H11" i="1" s="1"/>
  <c r="I11" i="1" s="1"/>
  <c r="G12" i="1"/>
  <c r="H12" i="1" s="1"/>
  <c r="I12" i="1" s="1"/>
  <c r="G13" i="1"/>
  <c r="H13" i="1" s="1"/>
  <c r="I13" i="1" s="1"/>
  <c r="G14" i="1"/>
  <c r="H14" i="1" s="1"/>
  <c r="I14" i="1" s="1"/>
  <c r="G15" i="1"/>
  <c r="H15" i="1" s="1"/>
  <c r="I15" i="1" s="1"/>
  <c r="G16" i="1"/>
  <c r="H16" i="1" s="1"/>
  <c r="I16" i="1" s="1"/>
  <c r="G17" i="1"/>
  <c r="H17" i="1" s="1"/>
  <c r="I17" i="1" s="1"/>
  <c r="G18" i="1"/>
  <c r="H18" i="1" s="1"/>
  <c r="I18" i="1" s="1"/>
  <c r="G19" i="1"/>
  <c r="H19" i="1" s="1"/>
  <c r="I19" i="1" s="1"/>
  <c r="G20" i="1"/>
  <c r="H20" i="1" s="1"/>
  <c r="I20" i="1" s="1"/>
  <c r="G21" i="1"/>
  <c r="H21" i="1" s="1"/>
  <c r="I21" i="1" s="1"/>
  <c r="G22" i="1"/>
  <c r="H22" i="1" s="1"/>
  <c r="I22" i="1" s="1"/>
  <c r="G23" i="1"/>
  <c r="H23" i="1" s="1"/>
  <c r="I23" i="1" s="1"/>
  <c r="G24" i="1"/>
  <c r="H24" i="1" s="1"/>
  <c r="I24" i="1" s="1"/>
  <c r="G25" i="1"/>
  <c r="H25" i="1" s="1"/>
  <c r="I25" i="1" s="1"/>
  <c r="G26" i="1"/>
  <c r="H26" i="1" s="1"/>
  <c r="I26" i="1" s="1"/>
  <c r="G27" i="1"/>
  <c r="H27" i="1" s="1"/>
  <c r="I27" i="1" s="1"/>
  <c r="G28" i="1"/>
  <c r="H28" i="1" s="1"/>
  <c r="I28" i="1" s="1"/>
  <c r="G29" i="1"/>
  <c r="H29" i="1" s="1"/>
  <c r="I29" i="1" s="1"/>
  <c r="G30" i="1"/>
  <c r="H30" i="1" s="1"/>
  <c r="I30" i="1" s="1"/>
  <c r="G31" i="1"/>
  <c r="H31" i="1" s="1"/>
  <c r="I31" i="1" s="1"/>
  <c r="G32" i="1"/>
  <c r="H32" i="1" s="1"/>
  <c r="I32" i="1" s="1"/>
  <c r="G33" i="1"/>
  <c r="H33" i="1" s="1"/>
  <c r="I33" i="1" s="1"/>
  <c r="G34" i="1"/>
  <c r="H34" i="1" s="1"/>
  <c r="I34" i="1" s="1"/>
  <c r="G35" i="1"/>
  <c r="H35" i="1" s="1"/>
  <c r="I35" i="1" s="1"/>
  <c r="G36" i="1"/>
  <c r="H36" i="1" s="1"/>
  <c r="I36" i="1" s="1"/>
  <c r="G37" i="1"/>
  <c r="H37" i="1" s="1"/>
  <c r="I37" i="1" s="1"/>
  <c r="G38" i="1"/>
  <c r="H38" i="1" s="1"/>
  <c r="I38" i="1" s="1"/>
  <c r="G39" i="1"/>
  <c r="H39" i="1" s="1"/>
  <c r="I39" i="1" s="1"/>
  <c r="G40" i="1"/>
  <c r="H40" i="1" s="1"/>
  <c r="I40" i="1" s="1"/>
  <c r="G41" i="1"/>
  <c r="H41" i="1" s="1"/>
  <c r="I41" i="1" s="1"/>
  <c r="G42" i="1"/>
  <c r="H42" i="1" s="1"/>
  <c r="I42" i="1" s="1"/>
  <c r="G43" i="1"/>
  <c r="H43" i="1" s="1"/>
  <c r="I43" i="1" s="1"/>
  <c r="G44" i="1"/>
  <c r="H44" i="1" s="1"/>
  <c r="I44" i="1" s="1"/>
  <c r="G45" i="1"/>
  <c r="H45" i="1" s="1"/>
  <c r="I45" i="1" s="1"/>
  <c r="G46" i="1"/>
  <c r="H46" i="1" s="1"/>
  <c r="I46" i="1" s="1"/>
  <c r="G47" i="1"/>
  <c r="H47" i="1" s="1"/>
  <c r="I47" i="1" s="1"/>
  <c r="G48" i="1"/>
  <c r="H48" i="1" s="1"/>
  <c r="I48" i="1" s="1"/>
  <c r="G49" i="1"/>
  <c r="H49" i="1" s="1"/>
  <c r="I49" i="1" s="1"/>
  <c r="G50" i="1"/>
  <c r="H50" i="1" s="1"/>
  <c r="I50" i="1" s="1"/>
  <c r="G51" i="1"/>
  <c r="H51" i="1" s="1"/>
  <c r="I51" i="1" s="1"/>
  <c r="G2" i="1"/>
  <c r="J8" i="1" s="1"/>
  <c r="H2" i="1" l="1"/>
  <c r="I2" i="1" s="1"/>
  <c r="J2" i="1"/>
  <c r="J5" i="1"/>
</calcChain>
</file>

<file path=xl/sharedStrings.xml><?xml version="1.0" encoding="utf-8"?>
<sst xmlns="http://schemas.openxmlformats.org/spreadsheetml/2006/main" count="136" uniqueCount="74">
  <si>
    <t>Student ID</t>
  </si>
  <si>
    <t>Name</t>
  </si>
  <si>
    <t>Gender</t>
  </si>
  <si>
    <t xml:space="preserve">Math </t>
  </si>
  <si>
    <t>English</t>
  </si>
  <si>
    <t>Science</t>
  </si>
  <si>
    <t>Total</t>
  </si>
  <si>
    <t>Percentage</t>
  </si>
  <si>
    <t>Grade</t>
  </si>
  <si>
    <t>Male</t>
  </si>
  <si>
    <t>Female</t>
  </si>
  <si>
    <t>Rahul</t>
  </si>
  <si>
    <t>Riya</t>
  </si>
  <si>
    <t>Neha</t>
  </si>
  <si>
    <t>Pallavi</t>
  </si>
  <si>
    <t>Alice</t>
  </si>
  <si>
    <t>Sonam</t>
  </si>
  <si>
    <t>Rosa</t>
  </si>
  <si>
    <t>Preeti</t>
  </si>
  <si>
    <t>Maria</t>
  </si>
  <si>
    <t>Anchal</t>
  </si>
  <si>
    <t>Dimple</t>
  </si>
  <si>
    <t>Sneha</t>
  </si>
  <si>
    <t>Trisha</t>
  </si>
  <si>
    <t>Payal</t>
  </si>
  <si>
    <t>Nancy</t>
  </si>
  <si>
    <t>Sona</t>
  </si>
  <si>
    <t>Tripti</t>
  </si>
  <si>
    <t>Vrinda</t>
  </si>
  <si>
    <t>Sapna</t>
  </si>
  <si>
    <t>Aditi</t>
  </si>
  <si>
    <t>Aaditya</t>
  </si>
  <si>
    <t>Aman</t>
  </si>
  <si>
    <t>Shivam</t>
  </si>
  <si>
    <t>Harish</t>
  </si>
  <si>
    <t>Sumit</t>
  </si>
  <si>
    <t>Vansh</t>
  </si>
  <si>
    <t>Amit</t>
  </si>
  <si>
    <t>Himanshu</t>
  </si>
  <si>
    <t>Ankit</t>
  </si>
  <si>
    <t>Ansh</t>
  </si>
  <si>
    <t>Vijay</t>
  </si>
  <si>
    <t>Raghav</t>
  </si>
  <si>
    <t>Vinod</t>
  </si>
  <si>
    <t>Jack</t>
  </si>
  <si>
    <t>Alex</t>
  </si>
  <si>
    <t>Harsh</t>
  </si>
  <si>
    <t>Sushil</t>
  </si>
  <si>
    <t>Karan</t>
  </si>
  <si>
    <t>Shiv</t>
  </si>
  <si>
    <t>Nikhil</t>
  </si>
  <si>
    <t>Average</t>
  </si>
  <si>
    <t>Highest marks</t>
  </si>
  <si>
    <t>Lowest marks</t>
  </si>
  <si>
    <t>Row Labels</t>
  </si>
  <si>
    <t>A</t>
  </si>
  <si>
    <t>A+</t>
  </si>
  <si>
    <t>B</t>
  </si>
  <si>
    <t>B+</t>
  </si>
  <si>
    <t>C+</t>
  </si>
  <si>
    <t>Grand Total</t>
  </si>
  <si>
    <t>Count of Grade</t>
  </si>
  <si>
    <t>Average of Total</t>
  </si>
  <si>
    <t xml:space="preserve">Average of Math </t>
  </si>
  <si>
    <t>Average of Science</t>
  </si>
  <si>
    <t>Average of English</t>
  </si>
  <si>
    <t>Subject Average</t>
  </si>
  <si>
    <t xml:space="preserve">             Grade Distribution</t>
  </si>
  <si>
    <t xml:space="preserve">                Gender Performance </t>
  </si>
  <si>
    <t>Total Students</t>
  </si>
  <si>
    <t>Average Marks</t>
  </si>
  <si>
    <t>Highest Marks</t>
  </si>
  <si>
    <t>Lowest Marks</t>
  </si>
  <si>
    <t>Student's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</si>
</sst>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16"/>
      <color theme="4" tint="-0.249977111117893"/>
      <name val="Aptos Narrow"/>
      <family val="2"/>
      <scheme val="minor"/>
    </font>
    <font>
      <sz val="16"/>
      <color theme="1"/>
      <name val="Aptos Narrow"/>
      <family val="2"/>
      <scheme val="minor"/>
    </font>
    <font>
      <sz val="14"/>
      <color theme="1"/>
      <name val="Aptos Narrow"/>
      <family val="2"/>
      <scheme val="minor"/>
    </font>
    <font>
      <b/>
      <sz val="18"/>
      <color theme="3" tint="0.249977111117893"/>
      <name val="Aptos Narrow"/>
      <family val="2"/>
      <scheme val="minor"/>
    </font>
    <font>
      <b/>
      <sz val="18"/>
      <color theme="1"/>
      <name val="Aptos Narrow"/>
      <family val="2"/>
      <scheme val="minor"/>
    </font>
    <font>
      <b/>
      <sz val="24"/>
      <color theme="1"/>
      <name val="Algerian"/>
      <family val="5"/>
    </font>
    <font>
      <b/>
      <sz val="20"/>
      <color theme="1"/>
      <name val="Algerian"/>
      <family val="5"/>
    </font>
    <font>
      <b/>
      <sz val="20"/>
      <color theme="1"/>
      <name val="Aptos Display"/>
      <family val="2"/>
      <scheme val="major"/>
    </font>
  </fonts>
  <fills count="4">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1" applyNumberFormat="1" applyFont="1" applyAlignment="1">
      <alignment horizontal="center"/>
    </xf>
    <xf numFmtId="0" fontId="2" fillId="0" borderId="0" xfId="0" applyFont="1" applyAlignment="1">
      <alignment horizontal="center" vertical="center"/>
    </xf>
    <xf numFmtId="1" fontId="2" fillId="0" borderId="0" xfId="0" applyNumberFormat="1" applyFont="1" applyAlignment="1">
      <alignment horizontal="center" vertical="center"/>
    </xf>
    <xf numFmtId="1"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1" fontId="4" fillId="0" borderId="0" xfId="0" applyNumberFormat="1" applyFont="1" applyAlignment="1">
      <alignment horizontal="center"/>
    </xf>
    <xf numFmtId="1" fontId="4" fillId="0" borderId="0" xfId="1" applyNumberFormat="1" applyFont="1" applyAlignment="1">
      <alignment horizontal="center"/>
    </xf>
    <xf numFmtId="0" fontId="5" fillId="0" borderId="0" xfId="0" applyFont="1"/>
    <xf numFmtId="0" fontId="6" fillId="0" borderId="0" xfId="0" pivotButton="1" applyFont="1"/>
    <xf numFmtId="0" fontId="6" fillId="0" borderId="0" xfId="0" applyFont="1"/>
    <xf numFmtId="0" fontId="6" fillId="0" borderId="0" xfId="0" applyFont="1" applyAlignment="1">
      <alignment horizontal="left"/>
    </xf>
    <xf numFmtId="1" fontId="6" fillId="0" borderId="0" xfId="0" applyNumberFormat="1" applyFont="1"/>
    <xf numFmtId="1" fontId="6" fillId="0" borderId="0" xfId="0" applyNumberFormat="1" applyFont="1" applyAlignment="1">
      <alignment horizontal="center"/>
    </xf>
    <xf numFmtId="0" fontId="7" fillId="2" borderId="0" xfId="0" applyFont="1" applyFill="1"/>
    <xf numFmtId="0" fontId="8" fillId="0" borderId="0" xfId="0" applyFont="1"/>
    <xf numFmtId="0" fontId="9" fillId="0" borderId="0" xfId="0" applyFont="1" applyAlignment="1">
      <alignment horizontal="center"/>
    </xf>
    <xf numFmtId="0" fontId="7" fillId="0" borderId="0" xfId="0" applyFont="1"/>
    <xf numFmtId="0" fontId="8" fillId="3" borderId="1" xfId="0" applyFont="1" applyFill="1" applyBorder="1" applyAlignment="1">
      <alignment horizontal="center"/>
    </xf>
    <xf numFmtId="1" fontId="9" fillId="3" borderId="2" xfId="0" applyNumberFormat="1" applyFont="1" applyFill="1" applyBorder="1" applyAlignment="1">
      <alignment horizontal="center"/>
    </xf>
    <xf numFmtId="0" fontId="9" fillId="3" borderId="2" xfId="0" applyFont="1" applyFill="1" applyBorder="1" applyAlignment="1">
      <alignment horizontal="center"/>
    </xf>
    <xf numFmtId="0" fontId="6" fillId="0" borderId="0" xfId="0" applyNumberFormat="1" applyFont="1"/>
  </cellXfs>
  <cellStyles count="2">
    <cellStyle name="Normal" xfId="0" builtinId="0"/>
    <cellStyle name="Percent" xfId="1" builtinId="5"/>
  </cellStyles>
  <dxfs count="132">
    <dxf>
      <font>
        <b/>
      </font>
    </dxf>
    <dxf>
      <font>
        <b/>
      </font>
    </dxf>
    <dxf>
      <font>
        <b/>
      </font>
    </dxf>
    <dxf>
      <font>
        <sz val="18"/>
      </font>
    </dxf>
    <dxf>
      <font>
        <sz val="18"/>
      </font>
    </dxf>
    <dxf>
      <font>
        <sz val="18"/>
      </font>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sz val="18"/>
      </font>
    </dxf>
    <dxf>
      <font>
        <sz val="18"/>
      </font>
    </dxf>
    <dxf>
      <font>
        <sz val="18"/>
      </font>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sz val="18"/>
      </font>
    </dxf>
    <dxf>
      <font>
        <sz val="18"/>
      </font>
    </dxf>
    <dxf>
      <font>
        <sz val="18"/>
      </font>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alignment horizontal="center"/>
    </dxf>
    <dxf>
      <alignment horizontal="center"/>
    </dxf>
    <dxf>
      <alignment horizontal="center"/>
    </dxf>
    <dxf>
      <font>
        <sz val="18"/>
      </font>
    </dxf>
    <dxf>
      <font>
        <sz val="18"/>
      </font>
    </dxf>
    <dxf>
      <font>
        <sz val="18"/>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Project.xlsx]Analysis!PivotTable3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Gender</a:t>
            </a:r>
            <a:r>
              <a:rPr lang="en-US" sz="1600" b="1" baseline="0"/>
              <a:t>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Analysis!$B$6:$B$8</c:f>
              <c:strCache>
                <c:ptCount val="2"/>
                <c:pt idx="0">
                  <c:v>Female</c:v>
                </c:pt>
                <c:pt idx="1">
                  <c:v>Male</c:v>
                </c:pt>
              </c:strCache>
            </c:strRef>
          </c:cat>
          <c:val>
            <c:numRef>
              <c:f>Analysis!$C$6:$C$8</c:f>
              <c:numCache>
                <c:formatCode>0</c:formatCode>
                <c:ptCount val="2"/>
                <c:pt idx="0">
                  <c:v>227.2608695652174</c:v>
                </c:pt>
                <c:pt idx="1">
                  <c:v>242.7037037037037</c:v>
                </c:pt>
              </c:numCache>
            </c:numRef>
          </c:val>
          <c:extLst>
            <c:ext xmlns:c16="http://schemas.microsoft.com/office/drawing/2014/chart" uri="{C3380CC4-5D6E-409C-BE32-E72D297353CC}">
              <c16:uniqueId val="{00000000-3CE5-470A-AD73-B65C680C404B}"/>
            </c:ext>
          </c:extLst>
        </c:ser>
        <c:dLbls>
          <c:dLblPos val="outEnd"/>
          <c:showLegendKey val="0"/>
          <c:showVal val="1"/>
          <c:showCatName val="0"/>
          <c:showSerName val="0"/>
          <c:showPercent val="0"/>
          <c:showBubbleSize val="0"/>
        </c:dLbls>
        <c:gapWidth val="219"/>
        <c:overlap val="-27"/>
        <c:axId val="740310527"/>
        <c:axId val="511920015"/>
      </c:barChart>
      <c:catAx>
        <c:axId val="74031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20015"/>
        <c:crosses val="autoZero"/>
        <c:auto val="1"/>
        <c:lblAlgn val="ctr"/>
        <c:lblOffset val="100"/>
        <c:noMultiLvlLbl val="0"/>
      </c:catAx>
      <c:valAx>
        <c:axId val="511920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1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 Performance Project.xlsx]Analysis!PivotTable4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Grade</a:t>
            </a:r>
            <a:r>
              <a:rPr lang="en-US" sz="1600" b="1" baseline="0"/>
              <a:t> Distribution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3000"/>
            </a:schemeClr>
          </a:solidFill>
          <a:ln w="25400">
            <a:solidFill>
              <a:schemeClr val="lt1"/>
            </a:solidFill>
          </a:ln>
          <a:effectLst/>
          <a:sp3d contourW="25400">
            <a:contourClr>
              <a:schemeClr val="lt1"/>
            </a:contourClr>
          </a:sp3d>
        </c:spPr>
      </c:pivotFmt>
      <c:pivotFmt>
        <c:idx val="2"/>
        <c:spPr>
          <a:solidFill>
            <a:schemeClr val="accent2">
              <a:shade val="76000"/>
            </a:schemeClr>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tint val="77000"/>
            </a:schemeClr>
          </a:solidFill>
          <a:ln w="25400">
            <a:solidFill>
              <a:schemeClr val="lt1"/>
            </a:solidFill>
          </a:ln>
          <a:effectLst/>
          <a:sp3d contourW="25400">
            <a:contourClr>
              <a:schemeClr val="lt1"/>
            </a:contourClr>
          </a:sp3d>
        </c:spPr>
      </c:pivotFmt>
      <c:pivotFmt>
        <c:idx val="5"/>
        <c:spPr>
          <a:solidFill>
            <a:schemeClr val="accent2">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Analysis!$G$4</c:f>
              <c:strCache>
                <c:ptCount val="1"/>
                <c:pt idx="0">
                  <c:v>Total</c:v>
                </c:pt>
              </c:strCache>
            </c:strRef>
          </c:tx>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14-426A-BB74-FB5908E3DA58}"/>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14-426A-BB74-FB5908E3DA58}"/>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14-426A-BB74-FB5908E3DA58}"/>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14-426A-BB74-FB5908E3DA58}"/>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A114-426A-BB74-FB5908E3DA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Analysis!$F$5:$F$10</c:f>
              <c:strCache>
                <c:ptCount val="5"/>
                <c:pt idx="0">
                  <c:v>A</c:v>
                </c:pt>
                <c:pt idx="1">
                  <c:v>A+</c:v>
                </c:pt>
                <c:pt idx="2">
                  <c:v>B</c:v>
                </c:pt>
                <c:pt idx="3">
                  <c:v>B+</c:v>
                </c:pt>
                <c:pt idx="4">
                  <c:v>C+</c:v>
                </c:pt>
              </c:strCache>
            </c:strRef>
          </c:cat>
          <c:val>
            <c:numRef>
              <c:f>Analysis!$G$5:$G$10</c:f>
              <c:numCache>
                <c:formatCode>General</c:formatCode>
                <c:ptCount val="5"/>
                <c:pt idx="0">
                  <c:v>7</c:v>
                </c:pt>
                <c:pt idx="1">
                  <c:v>2</c:v>
                </c:pt>
                <c:pt idx="2">
                  <c:v>13</c:v>
                </c:pt>
                <c:pt idx="3">
                  <c:v>27</c:v>
                </c:pt>
                <c:pt idx="4">
                  <c:v>1</c:v>
                </c:pt>
              </c:numCache>
            </c:numRef>
          </c:val>
          <c:extLst>
            <c:ext xmlns:c16="http://schemas.microsoft.com/office/drawing/2014/chart" uri="{C3380CC4-5D6E-409C-BE32-E72D297353CC}">
              <c16:uniqueId val="{00000000-27AC-4F20-B1FE-A8E5C908D8C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Project.xlsx]Analysis!PivotTable5</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Subject</a:t>
            </a:r>
            <a:r>
              <a:rPr lang="en-IN" sz="1600" b="1" baseline="0"/>
              <a:t> Average</a:t>
            </a:r>
            <a:endParaRPr lang="en-IN" sz="1600" b="1"/>
          </a:p>
        </c:rich>
      </c:tx>
      <c:layout>
        <c:manualLayout>
          <c:xMode val="edge"/>
          <c:yMode val="edge"/>
          <c:x val="0.3684860017497813"/>
          <c:y val="0.17490522018081076"/>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Analysis!$J$4</c:f>
              <c:strCache>
                <c:ptCount val="1"/>
                <c:pt idx="0">
                  <c:v>Average of Math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Analysis!$J$5</c:f>
              <c:numCache>
                <c:formatCode>0</c:formatCode>
                <c:ptCount val="1"/>
                <c:pt idx="0">
                  <c:v>76.98</c:v>
                </c:pt>
              </c:numCache>
            </c:numRef>
          </c:val>
          <c:extLst>
            <c:ext xmlns:c16="http://schemas.microsoft.com/office/drawing/2014/chart" uri="{C3380CC4-5D6E-409C-BE32-E72D297353CC}">
              <c16:uniqueId val="{00000000-C274-451D-840E-4EA8473CB1D9}"/>
            </c:ext>
          </c:extLst>
        </c:ser>
        <c:ser>
          <c:idx val="1"/>
          <c:order val="1"/>
          <c:tx>
            <c:strRef>
              <c:f>Analysis!$K$4</c:f>
              <c:strCache>
                <c:ptCount val="1"/>
                <c:pt idx="0">
                  <c:v>Average of Science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Analysis!$K$5</c:f>
              <c:numCache>
                <c:formatCode>0</c:formatCode>
                <c:ptCount val="1"/>
                <c:pt idx="0">
                  <c:v>79.28</c:v>
                </c:pt>
              </c:numCache>
            </c:numRef>
          </c:val>
          <c:extLst>
            <c:ext xmlns:c16="http://schemas.microsoft.com/office/drawing/2014/chart" uri="{C3380CC4-5D6E-409C-BE32-E72D297353CC}">
              <c16:uniqueId val="{00000001-C274-451D-840E-4EA8473CB1D9}"/>
            </c:ext>
          </c:extLst>
        </c:ser>
        <c:ser>
          <c:idx val="2"/>
          <c:order val="2"/>
          <c:tx>
            <c:strRef>
              <c:f>Analysis!$L$4</c:f>
              <c:strCache>
                <c:ptCount val="1"/>
                <c:pt idx="0">
                  <c:v>Average of English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Analysis!$L$5</c:f>
              <c:numCache>
                <c:formatCode>0</c:formatCode>
                <c:ptCount val="1"/>
                <c:pt idx="0">
                  <c:v>79.34</c:v>
                </c:pt>
              </c:numCache>
            </c:numRef>
          </c:val>
          <c:extLst>
            <c:ext xmlns:c16="http://schemas.microsoft.com/office/drawing/2014/chart" uri="{C3380CC4-5D6E-409C-BE32-E72D297353CC}">
              <c16:uniqueId val="{00000002-C274-451D-840E-4EA8473CB1D9}"/>
            </c:ext>
          </c:extLst>
        </c:ser>
        <c:dLbls>
          <c:dLblPos val="outEnd"/>
          <c:showLegendKey val="0"/>
          <c:showVal val="1"/>
          <c:showCatName val="0"/>
          <c:showSerName val="0"/>
          <c:showPercent val="0"/>
          <c:showBubbleSize val="0"/>
        </c:dLbls>
        <c:gapWidth val="182"/>
        <c:axId val="677255375"/>
        <c:axId val="677256335"/>
      </c:barChart>
      <c:catAx>
        <c:axId val="67725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56335"/>
        <c:crosses val="autoZero"/>
        <c:auto val="1"/>
        <c:lblAlgn val="ctr"/>
        <c:lblOffset val="100"/>
        <c:noMultiLvlLbl val="0"/>
      </c:catAx>
      <c:valAx>
        <c:axId val="6772563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5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Project.xlsx]Analysis!PivotTable3</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Gender</a:t>
            </a:r>
            <a:r>
              <a:rPr lang="en-US" sz="1600" b="1" baseline="0"/>
              <a:t>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Analysis!$B$6:$B$8</c:f>
              <c:strCache>
                <c:ptCount val="2"/>
                <c:pt idx="0">
                  <c:v>Female</c:v>
                </c:pt>
                <c:pt idx="1">
                  <c:v>Male</c:v>
                </c:pt>
              </c:strCache>
            </c:strRef>
          </c:cat>
          <c:val>
            <c:numRef>
              <c:f>Analysis!$C$6:$C$8</c:f>
              <c:numCache>
                <c:formatCode>0</c:formatCode>
                <c:ptCount val="2"/>
                <c:pt idx="0">
                  <c:v>227.2608695652174</c:v>
                </c:pt>
                <c:pt idx="1">
                  <c:v>242.7037037037037</c:v>
                </c:pt>
              </c:numCache>
            </c:numRef>
          </c:val>
          <c:extLst>
            <c:ext xmlns:c16="http://schemas.microsoft.com/office/drawing/2014/chart" uri="{C3380CC4-5D6E-409C-BE32-E72D297353CC}">
              <c16:uniqueId val="{00000000-B394-4BB3-A598-680DA9F91C12}"/>
            </c:ext>
          </c:extLst>
        </c:ser>
        <c:dLbls>
          <c:dLblPos val="outEnd"/>
          <c:showLegendKey val="0"/>
          <c:showVal val="1"/>
          <c:showCatName val="0"/>
          <c:showSerName val="0"/>
          <c:showPercent val="0"/>
          <c:showBubbleSize val="0"/>
        </c:dLbls>
        <c:gapWidth val="219"/>
        <c:overlap val="-27"/>
        <c:axId val="740310527"/>
        <c:axId val="511920015"/>
      </c:barChart>
      <c:catAx>
        <c:axId val="74031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1920015"/>
        <c:crosses val="autoZero"/>
        <c:auto val="1"/>
        <c:lblAlgn val="ctr"/>
        <c:lblOffset val="100"/>
        <c:noMultiLvlLbl val="0"/>
      </c:catAx>
      <c:valAx>
        <c:axId val="511920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031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 Performance Project.xlsx]Analysis!PivotTable4</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Grade</a:t>
            </a:r>
            <a:r>
              <a:rPr lang="en-US" sz="1600" b="1" baseline="0"/>
              <a:t> Distribution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53000"/>
            </a:schemeClr>
          </a:solidFill>
          <a:ln w="25400">
            <a:solidFill>
              <a:schemeClr val="lt1"/>
            </a:solidFill>
          </a:ln>
          <a:effectLst/>
          <a:sp3d contourW="25400">
            <a:contourClr>
              <a:schemeClr val="lt1"/>
            </a:contourClr>
          </a:sp3d>
        </c:spPr>
      </c:pivotFmt>
      <c:pivotFmt>
        <c:idx val="3"/>
        <c:spPr>
          <a:solidFill>
            <a:schemeClr val="accent2">
              <a:shade val="76000"/>
            </a:schemeClr>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tint val="77000"/>
            </a:schemeClr>
          </a:solidFill>
          <a:ln w="25400">
            <a:solidFill>
              <a:schemeClr val="lt1"/>
            </a:solidFill>
          </a:ln>
          <a:effectLst/>
          <a:sp3d contourW="25400">
            <a:contourClr>
              <a:schemeClr val="lt1"/>
            </a:contourClr>
          </a:sp3d>
        </c:spPr>
      </c:pivotFmt>
      <c:pivotFmt>
        <c:idx val="6"/>
        <c:spPr>
          <a:solidFill>
            <a:schemeClr val="accent2">
              <a:tint val="54000"/>
            </a:schemeClr>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25400">
            <a:solidFill>
              <a:schemeClr val="lt1"/>
            </a:solidFill>
          </a:ln>
          <a:effectLst/>
          <a:sp3d contourW="25400">
            <a:contourClr>
              <a:schemeClr val="lt1"/>
            </a:contourClr>
          </a:sp3d>
        </c:spPr>
      </c:pivotFmt>
      <c:pivotFmt>
        <c:idx val="9"/>
        <c:spPr>
          <a:solidFill>
            <a:schemeClr val="accent2">
              <a:shade val="76000"/>
            </a:schemeClr>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tint val="77000"/>
            </a:schemeClr>
          </a:solidFill>
          <a:ln w="25400">
            <a:solidFill>
              <a:schemeClr val="lt1"/>
            </a:solidFill>
          </a:ln>
          <a:effectLst/>
          <a:sp3d contourW="25400">
            <a:contourClr>
              <a:schemeClr val="lt1"/>
            </a:contourClr>
          </a:sp3d>
        </c:spPr>
      </c:pivotFmt>
      <c:pivotFmt>
        <c:idx val="12"/>
        <c:spPr>
          <a:solidFill>
            <a:schemeClr val="accent2">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Analysis!$G$4</c:f>
              <c:strCache>
                <c:ptCount val="1"/>
                <c:pt idx="0">
                  <c:v>Total</c:v>
                </c:pt>
              </c:strCache>
            </c:strRef>
          </c:tx>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05-4380-99C0-FCBD8B077AEE}"/>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05-4380-99C0-FCBD8B077AEE}"/>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05-4380-99C0-FCBD8B077AEE}"/>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05-4380-99C0-FCBD8B077AEE}"/>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05-4380-99C0-FCBD8B077AE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Analysis!$F$5:$F$10</c:f>
              <c:strCache>
                <c:ptCount val="5"/>
                <c:pt idx="0">
                  <c:v>A</c:v>
                </c:pt>
                <c:pt idx="1">
                  <c:v>A+</c:v>
                </c:pt>
                <c:pt idx="2">
                  <c:v>B</c:v>
                </c:pt>
                <c:pt idx="3">
                  <c:v>B+</c:v>
                </c:pt>
                <c:pt idx="4">
                  <c:v>C+</c:v>
                </c:pt>
              </c:strCache>
            </c:strRef>
          </c:cat>
          <c:val>
            <c:numRef>
              <c:f>Analysis!$G$5:$G$10</c:f>
              <c:numCache>
                <c:formatCode>General</c:formatCode>
                <c:ptCount val="5"/>
                <c:pt idx="0">
                  <c:v>7</c:v>
                </c:pt>
                <c:pt idx="1">
                  <c:v>2</c:v>
                </c:pt>
                <c:pt idx="2">
                  <c:v>13</c:v>
                </c:pt>
                <c:pt idx="3">
                  <c:v>27</c:v>
                </c:pt>
                <c:pt idx="4">
                  <c:v>1</c:v>
                </c:pt>
              </c:numCache>
            </c:numRef>
          </c:val>
          <c:extLst>
            <c:ext xmlns:c16="http://schemas.microsoft.com/office/drawing/2014/chart" uri="{C3380CC4-5D6E-409C-BE32-E72D297353CC}">
              <c16:uniqueId val="{0000000A-B305-4380-99C0-FCBD8B077AE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Project.xlsx]Analysis!PivotTable5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Subject</a:t>
            </a:r>
            <a:r>
              <a:rPr lang="en-IN" sz="1600" b="1" baseline="0"/>
              <a:t> Average</a:t>
            </a:r>
            <a:endParaRPr lang="en-IN" sz="1600" b="1"/>
          </a:p>
        </c:rich>
      </c:tx>
      <c:layout>
        <c:manualLayout>
          <c:xMode val="edge"/>
          <c:yMode val="edge"/>
          <c:x val="0.3684860017497813"/>
          <c:y val="0.17490522018081076"/>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Analysis!$J$4</c:f>
              <c:strCache>
                <c:ptCount val="1"/>
                <c:pt idx="0">
                  <c:v>Average of Math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Analysis!$J$5</c:f>
              <c:numCache>
                <c:formatCode>0</c:formatCode>
                <c:ptCount val="1"/>
                <c:pt idx="0">
                  <c:v>76.98</c:v>
                </c:pt>
              </c:numCache>
            </c:numRef>
          </c:val>
          <c:extLst>
            <c:ext xmlns:c16="http://schemas.microsoft.com/office/drawing/2014/chart" uri="{C3380CC4-5D6E-409C-BE32-E72D297353CC}">
              <c16:uniqueId val="{00000000-9BA4-487D-9410-CCE3E732E39A}"/>
            </c:ext>
          </c:extLst>
        </c:ser>
        <c:ser>
          <c:idx val="1"/>
          <c:order val="1"/>
          <c:tx>
            <c:strRef>
              <c:f>Analysis!$K$4</c:f>
              <c:strCache>
                <c:ptCount val="1"/>
                <c:pt idx="0">
                  <c:v>Average of Science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Analysis!$K$5</c:f>
              <c:numCache>
                <c:formatCode>0</c:formatCode>
                <c:ptCount val="1"/>
                <c:pt idx="0">
                  <c:v>79.28</c:v>
                </c:pt>
              </c:numCache>
            </c:numRef>
          </c:val>
          <c:extLst>
            <c:ext xmlns:c16="http://schemas.microsoft.com/office/drawing/2014/chart" uri="{C3380CC4-5D6E-409C-BE32-E72D297353CC}">
              <c16:uniqueId val="{00000001-9BA4-487D-9410-CCE3E732E39A}"/>
            </c:ext>
          </c:extLst>
        </c:ser>
        <c:ser>
          <c:idx val="2"/>
          <c:order val="2"/>
          <c:tx>
            <c:strRef>
              <c:f>Analysis!$L$4</c:f>
              <c:strCache>
                <c:ptCount val="1"/>
                <c:pt idx="0">
                  <c:v>Average of English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c:f>
              <c:strCache>
                <c:ptCount val="1"/>
                <c:pt idx="0">
                  <c:v>Total</c:v>
                </c:pt>
              </c:strCache>
            </c:strRef>
          </c:cat>
          <c:val>
            <c:numRef>
              <c:f>Analysis!$L$5</c:f>
              <c:numCache>
                <c:formatCode>0</c:formatCode>
                <c:ptCount val="1"/>
                <c:pt idx="0">
                  <c:v>79.34</c:v>
                </c:pt>
              </c:numCache>
            </c:numRef>
          </c:val>
          <c:extLst>
            <c:ext xmlns:c16="http://schemas.microsoft.com/office/drawing/2014/chart" uri="{C3380CC4-5D6E-409C-BE32-E72D297353CC}">
              <c16:uniqueId val="{00000002-9BA4-487D-9410-CCE3E732E39A}"/>
            </c:ext>
          </c:extLst>
        </c:ser>
        <c:dLbls>
          <c:dLblPos val="outEnd"/>
          <c:showLegendKey val="0"/>
          <c:showVal val="1"/>
          <c:showCatName val="0"/>
          <c:showSerName val="0"/>
          <c:showPercent val="0"/>
          <c:showBubbleSize val="0"/>
        </c:dLbls>
        <c:gapWidth val="182"/>
        <c:axId val="677255375"/>
        <c:axId val="677256335"/>
      </c:barChart>
      <c:catAx>
        <c:axId val="67725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77256335"/>
        <c:crosses val="autoZero"/>
        <c:auto val="1"/>
        <c:lblAlgn val="ctr"/>
        <c:lblOffset val="100"/>
        <c:noMultiLvlLbl val="0"/>
      </c:catAx>
      <c:valAx>
        <c:axId val="6772563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7725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281940</xdr:colOff>
      <xdr:row>13</xdr:row>
      <xdr:rowOff>15240</xdr:rowOff>
    </xdr:from>
    <xdr:to>
      <xdr:col>4</xdr:col>
      <xdr:colOff>129540</xdr:colOff>
      <xdr:row>28</xdr:row>
      <xdr:rowOff>15240</xdr:rowOff>
    </xdr:to>
    <xdr:graphicFrame macro="">
      <xdr:nvGraphicFramePr>
        <xdr:cNvPr id="2" name="Chart 1">
          <a:extLst>
            <a:ext uri="{FF2B5EF4-FFF2-40B4-BE49-F238E27FC236}">
              <a16:creationId xmlns:a16="http://schemas.microsoft.com/office/drawing/2014/main" id="{6BA2D244-28B6-F51A-9924-94BC92584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12</xdr:row>
      <xdr:rowOff>160020</xdr:rowOff>
    </xdr:from>
    <xdr:to>
      <xdr:col>9</xdr:col>
      <xdr:colOff>114300</xdr:colOff>
      <xdr:row>27</xdr:row>
      <xdr:rowOff>160020</xdr:rowOff>
    </xdr:to>
    <xdr:graphicFrame macro="">
      <xdr:nvGraphicFramePr>
        <xdr:cNvPr id="3" name="Chart 2">
          <a:extLst>
            <a:ext uri="{FF2B5EF4-FFF2-40B4-BE49-F238E27FC236}">
              <a16:creationId xmlns:a16="http://schemas.microsoft.com/office/drawing/2014/main" id="{FE96C795-1AEC-337C-A8A0-8DC316B32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1272540</xdr:colOff>
      <xdr:row>12</xdr:row>
      <xdr:rowOff>167640</xdr:rowOff>
    </xdr:from>
    <xdr:to>
      <xdr:col>11</xdr:col>
      <xdr:colOff>2011680</xdr:colOff>
      <xdr:row>27</xdr:row>
      <xdr:rowOff>167640</xdr:rowOff>
    </xdr:to>
    <xdr:graphicFrame macro="">
      <xdr:nvGraphicFramePr>
        <xdr:cNvPr id="4" name="Chart 3">
          <a:extLst>
            <a:ext uri="{FF2B5EF4-FFF2-40B4-BE49-F238E27FC236}">
              <a16:creationId xmlns:a16="http://schemas.microsoft.com/office/drawing/2014/main" id="{4AEDACD4-67F2-0912-7BFF-4E5E1C0CF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4</xdr:col>
      <xdr:colOff>662261</xdr:colOff>
      <xdr:row>25</xdr:row>
      <xdr:rowOff>55467</xdr:rowOff>
    </xdr:to>
    <xdr:graphicFrame macro="">
      <xdr:nvGraphicFramePr>
        <xdr:cNvPr id="3" name="Chart 2">
          <a:extLst>
            <a:ext uri="{FF2B5EF4-FFF2-40B4-BE49-F238E27FC236}">
              <a16:creationId xmlns:a16="http://schemas.microsoft.com/office/drawing/2014/main" id="{2C4DCB5B-6C62-4DE4-BD1D-15CB6E5A5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166254</xdr:colOff>
      <xdr:row>10</xdr:row>
      <xdr:rowOff>27708</xdr:rowOff>
    </xdr:from>
    <xdr:to>
      <xdr:col>8</xdr:col>
      <xdr:colOff>194817</xdr:colOff>
      <xdr:row>25</xdr:row>
      <xdr:rowOff>83176</xdr:rowOff>
    </xdr:to>
    <xdr:graphicFrame macro="">
      <xdr:nvGraphicFramePr>
        <xdr:cNvPr id="4" name="Chart 3">
          <a:extLst>
            <a:ext uri="{FF2B5EF4-FFF2-40B4-BE49-F238E27FC236}">
              <a16:creationId xmlns:a16="http://schemas.microsoft.com/office/drawing/2014/main" id="{FFCE032E-CBE8-4CFC-844D-7B8A6EFB6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138546</xdr:colOff>
      <xdr:row>10</xdr:row>
      <xdr:rowOff>13854</xdr:rowOff>
    </xdr:from>
    <xdr:to>
      <xdr:col>17</xdr:col>
      <xdr:colOff>409214</xdr:colOff>
      <xdr:row>25</xdr:row>
      <xdr:rowOff>69321</xdr:rowOff>
    </xdr:to>
    <xdr:graphicFrame macro="">
      <xdr:nvGraphicFramePr>
        <xdr:cNvPr id="5" name="Chart 4">
          <a:extLst>
            <a:ext uri="{FF2B5EF4-FFF2-40B4-BE49-F238E27FC236}">
              <a16:creationId xmlns:a16="http://schemas.microsoft.com/office/drawing/2014/main" id="{8B30CB8A-B2F6-4698-8EF1-024506A9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471075</xdr:colOff>
      <xdr:row>28</xdr:row>
      <xdr:rowOff>18038</xdr:rowOff>
    </xdr:from>
    <xdr:to>
      <xdr:col>1</xdr:col>
      <xdr:colOff>2299357</xdr:colOff>
      <xdr:row>41</xdr:row>
      <xdr:rowOff>164888</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F37E6F72-40D0-CC01-52BD-9F5E5D07ED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0675" y="5941318"/>
              <a:ext cx="1828282" cy="2524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ooti" refreshedDate="46131.016414467595" createdVersion="8" refreshedVersion="8" minRefreshableVersion="3" recordCount="50" xr:uid="{A3B41FDD-E9AC-43D5-BC6B-B75722F080C4}">
  <cacheSource type="worksheet">
    <worksheetSource ref="A1:J51" sheet="Raw Data"/>
  </cacheSource>
  <cacheFields count="10">
    <cacheField name="Student ID" numFmtId="0">
      <sharedItems containsSemiMixedTypes="0" containsString="0" containsNumber="1" containsInteger="1" minValue="22001" maxValue="22050"/>
    </cacheField>
    <cacheField name="Name" numFmtId="0">
      <sharedItems/>
    </cacheField>
    <cacheField name="Gender" numFmtId="0">
      <sharedItems count="2">
        <s v="Male"/>
        <s v="Female"/>
      </sharedItems>
    </cacheField>
    <cacheField name="Math " numFmtId="1">
      <sharedItems containsSemiMixedTypes="0" containsString="0" containsNumber="1" containsInteger="1" minValue="51" maxValue="100"/>
    </cacheField>
    <cacheField name="English" numFmtId="1">
      <sharedItems containsSemiMixedTypes="0" containsString="0" containsNumber="1" containsInteger="1" minValue="52" maxValue="100"/>
    </cacheField>
    <cacheField name="Science" numFmtId="1">
      <sharedItems containsSemiMixedTypes="0" containsString="0" containsNumber="1" containsInteger="1" minValue="51" maxValue="100"/>
    </cacheField>
    <cacheField name="Total" numFmtId="1">
      <sharedItems containsSemiMixedTypes="0" containsString="0" containsNumber="1" containsInteger="1" minValue="165" maxValue="283"/>
    </cacheField>
    <cacheField name="Percentage" numFmtId="1">
      <sharedItems containsSemiMixedTypes="0" containsString="0" containsNumber="1" minValue="55" maxValue="94.333333333333329"/>
    </cacheField>
    <cacheField name="Grade" numFmtId="0">
      <sharedItems count="5">
        <s v="B"/>
        <s v="C+"/>
        <s v="B+"/>
        <s v="A+"/>
        <s v="A"/>
      </sharedItems>
    </cacheField>
    <cacheField name="Average" numFmtId="0">
      <sharedItems containsBlank="1" containsMixedTypes="1" containsNumber="1" minValue="165" maxValue="283"/>
    </cacheField>
  </cacheFields>
  <extLst>
    <ext xmlns:x14="http://schemas.microsoft.com/office/spreadsheetml/2009/9/main" uri="{725AE2AE-9491-48be-B2B4-4EB974FC3084}">
      <x14:pivotCacheDefinition pivotCacheId="328033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2001"/>
    <s v="Rahul"/>
    <x v="0"/>
    <n v="83"/>
    <n v="67"/>
    <n v="60"/>
    <n v="210"/>
    <n v="70"/>
    <x v="0"/>
    <n v="235.6"/>
  </r>
  <r>
    <n v="22002"/>
    <s v="Riya"/>
    <x v="1"/>
    <n v="89"/>
    <n v="64"/>
    <n v="64"/>
    <n v="217"/>
    <n v="72.333333333333329"/>
    <x v="0"/>
    <m/>
  </r>
  <r>
    <n v="22003"/>
    <s v="Neha"/>
    <x v="1"/>
    <n v="53"/>
    <n v="61"/>
    <n v="51"/>
    <n v="165"/>
    <n v="55"/>
    <x v="1"/>
    <s v="Highest marks"/>
  </r>
  <r>
    <n v="22004"/>
    <s v="Pallavi"/>
    <x v="1"/>
    <n v="58"/>
    <n v="83"/>
    <n v="77"/>
    <n v="218"/>
    <n v="72.666666666666671"/>
    <x v="0"/>
    <n v="283"/>
  </r>
  <r>
    <n v="22005"/>
    <s v="Alice"/>
    <x v="1"/>
    <n v="55"/>
    <n v="77"/>
    <n v="100"/>
    <n v="232"/>
    <n v="77.333333333333329"/>
    <x v="2"/>
    <m/>
  </r>
  <r>
    <n v="22006"/>
    <s v="Sushil"/>
    <x v="0"/>
    <n v="89"/>
    <n v="97"/>
    <n v="97"/>
    <n v="283"/>
    <n v="94.333333333333329"/>
    <x v="3"/>
    <s v="Lowest marks"/>
  </r>
  <r>
    <n v="22007"/>
    <s v="Ansh"/>
    <x v="0"/>
    <n v="79"/>
    <n v="52"/>
    <n v="88"/>
    <n v="219"/>
    <n v="73"/>
    <x v="0"/>
    <n v="165"/>
  </r>
  <r>
    <n v="22008"/>
    <s v="Karan"/>
    <x v="0"/>
    <n v="59"/>
    <n v="91"/>
    <n v="59"/>
    <n v="209"/>
    <n v="69.666666666666671"/>
    <x v="0"/>
    <m/>
  </r>
  <r>
    <n v="22009"/>
    <s v="Aman"/>
    <x v="0"/>
    <n v="98"/>
    <n v="52"/>
    <n v="87"/>
    <n v="237"/>
    <n v="79"/>
    <x v="2"/>
    <m/>
  </r>
  <r>
    <n v="22010"/>
    <s v="Ankit"/>
    <x v="0"/>
    <n v="78"/>
    <n v="61"/>
    <n v="88"/>
    <n v="227"/>
    <n v="75.666666666666671"/>
    <x v="2"/>
    <m/>
  </r>
  <r>
    <n v="22011"/>
    <s v="Shiv"/>
    <x v="0"/>
    <n v="88"/>
    <n v="80"/>
    <n v="79"/>
    <n v="247"/>
    <n v="82.333333333333329"/>
    <x v="2"/>
    <m/>
  </r>
  <r>
    <n v="22012"/>
    <s v="Nikhil"/>
    <x v="0"/>
    <n v="88"/>
    <n v="54"/>
    <n v="85"/>
    <n v="227"/>
    <n v="75.666666666666671"/>
    <x v="2"/>
    <m/>
  </r>
  <r>
    <n v="22013"/>
    <s v="Sonam"/>
    <x v="1"/>
    <n v="69"/>
    <n v="70"/>
    <n v="74"/>
    <n v="213"/>
    <n v="71"/>
    <x v="0"/>
    <m/>
  </r>
  <r>
    <n v="22014"/>
    <s v="Rosa"/>
    <x v="1"/>
    <n v="79"/>
    <n v="65"/>
    <n v="90"/>
    <n v="234"/>
    <n v="78"/>
    <x v="2"/>
    <m/>
  </r>
  <r>
    <n v="22015"/>
    <s v="Preeti"/>
    <x v="1"/>
    <n v="73"/>
    <n v="99"/>
    <n v="81"/>
    <n v="253"/>
    <n v="84.333333333333329"/>
    <x v="2"/>
    <m/>
  </r>
  <r>
    <n v="22016"/>
    <s v="Amit"/>
    <x v="0"/>
    <n v="72"/>
    <n v="78"/>
    <n v="90"/>
    <n v="240"/>
    <n v="80"/>
    <x v="2"/>
    <m/>
  </r>
  <r>
    <n v="22017"/>
    <s v="Ankit"/>
    <x v="0"/>
    <n v="81"/>
    <n v="85"/>
    <n v="99"/>
    <n v="265"/>
    <n v="88.333333333333329"/>
    <x v="4"/>
    <m/>
  </r>
  <r>
    <n v="22018"/>
    <s v="Maria"/>
    <x v="1"/>
    <n v="91"/>
    <n v="69"/>
    <n v="60"/>
    <n v="220"/>
    <n v="73.333333333333329"/>
    <x v="0"/>
    <m/>
  </r>
  <r>
    <n v="22019"/>
    <s v="Ansh"/>
    <x v="0"/>
    <n v="91"/>
    <n v="77"/>
    <n v="93"/>
    <n v="261"/>
    <n v="87"/>
    <x v="4"/>
    <m/>
  </r>
  <r>
    <n v="22020"/>
    <s v="Vijay"/>
    <x v="0"/>
    <n v="99"/>
    <n v="71"/>
    <n v="70"/>
    <n v="240"/>
    <n v="80"/>
    <x v="2"/>
    <m/>
  </r>
  <r>
    <n v="22021"/>
    <s v="Raghav"/>
    <x v="0"/>
    <n v="59"/>
    <n v="78"/>
    <n v="72"/>
    <n v="209"/>
    <n v="69.666666666666671"/>
    <x v="0"/>
    <m/>
  </r>
  <r>
    <n v="22022"/>
    <s v="Vinod"/>
    <x v="0"/>
    <n v="86"/>
    <n v="98"/>
    <n v="84"/>
    <n v="268"/>
    <n v="89.333333333333329"/>
    <x v="4"/>
    <m/>
  </r>
  <r>
    <n v="22023"/>
    <s v="Jack"/>
    <x v="0"/>
    <n v="77"/>
    <n v="85"/>
    <n v="86"/>
    <n v="248"/>
    <n v="82.666666666666671"/>
    <x v="2"/>
    <m/>
  </r>
  <r>
    <n v="22024"/>
    <s v="Alex"/>
    <x v="0"/>
    <n v="98"/>
    <n v="84"/>
    <n v="81"/>
    <n v="263"/>
    <n v="87.666666666666671"/>
    <x v="4"/>
    <m/>
  </r>
  <r>
    <n v="22025"/>
    <s v="Sumit"/>
    <x v="0"/>
    <n v="82"/>
    <n v="96"/>
    <n v="97"/>
    <n v="275"/>
    <n v="91.666666666666671"/>
    <x v="3"/>
    <m/>
  </r>
  <r>
    <n v="22026"/>
    <s v="Harsh"/>
    <x v="0"/>
    <n v="58"/>
    <n v="79"/>
    <n v="100"/>
    <n v="237"/>
    <n v="79"/>
    <x v="2"/>
    <m/>
  </r>
  <r>
    <n v="22027"/>
    <s v="Anchal"/>
    <x v="1"/>
    <n v="66"/>
    <n v="82"/>
    <n v="70"/>
    <n v="218"/>
    <n v="72.666666666666671"/>
    <x v="0"/>
    <m/>
  </r>
  <r>
    <n v="22028"/>
    <s v="Amit"/>
    <x v="0"/>
    <n v="66"/>
    <n v="73"/>
    <n v="71"/>
    <n v="210"/>
    <n v="70"/>
    <x v="0"/>
    <m/>
  </r>
  <r>
    <n v="22029"/>
    <s v="Himanshu"/>
    <x v="0"/>
    <n v="52"/>
    <n v="91"/>
    <n v="91"/>
    <n v="234"/>
    <n v="78"/>
    <x v="2"/>
    <m/>
  </r>
  <r>
    <n v="22030"/>
    <s v="Dimple"/>
    <x v="1"/>
    <n v="78"/>
    <n v="76"/>
    <n v="76"/>
    <n v="230"/>
    <n v="76.666666666666671"/>
    <x v="2"/>
    <m/>
  </r>
  <r>
    <n v="22031"/>
    <s v="Sonam"/>
    <x v="1"/>
    <n v="84"/>
    <n v="74"/>
    <n v="55"/>
    <n v="213"/>
    <n v="71"/>
    <x v="0"/>
    <m/>
  </r>
  <r>
    <n v="22032"/>
    <s v="Sneha"/>
    <x v="1"/>
    <n v="82"/>
    <n v="79"/>
    <n v="67"/>
    <n v="228"/>
    <n v="76"/>
    <x v="2"/>
    <m/>
  </r>
  <r>
    <n v="22033"/>
    <s v="Neha"/>
    <x v="1"/>
    <n v="83"/>
    <n v="85"/>
    <n v="61"/>
    <n v="229"/>
    <n v="76.333333333333329"/>
    <x v="2"/>
    <m/>
  </r>
  <r>
    <n v="22034"/>
    <s v="Trisha"/>
    <x v="1"/>
    <n v="63"/>
    <n v="71"/>
    <n v="90"/>
    <n v="224"/>
    <n v="74.666666666666671"/>
    <x v="0"/>
    <m/>
  </r>
  <r>
    <n v="22035"/>
    <s v="Payal"/>
    <x v="1"/>
    <n v="57"/>
    <n v="100"/>
    <n v="70"/>
    <n v="227"/>
    <n v="75.666666666666671"/>
    <x v="2"/>
    <m/>
  </r>
  <r>
    <n v="22036"/>
    <s v="Preeti"/>
    <x v="1"/>
    <n v="51"/>
    <n v="100"/>
    <n v="76"/>
    <n v="227"/>
    <n v="75.666666666666671"/>
    <x v="2"/>
    <m/>
  </r>
  <r>
    <n v="22037"/>
    <s v="Nancy"/>
    <x v="1"/>
    <n v="94"/>
    <n v="89"/>
    <n v="77"/>
    <n v="260"/>
    <n v="86.666666666666671"/>
    <x v="4"/>
    <m/>
  </r>
  <r>
    <n v="22038"/>
    <s v="Sona"/>
    <x v="1"/>
    <n v="77"/>
    <n v="79"/>
    <n v="65"/>
    <n v="221"/>
    <n v="73.666666666666671"/>
    <x v="0"/>
    <m/>
  </r>
  <r>
    <n v="22039"/>
    <s v="Tripti"/>
    <x v="1"/>
    <n v="85"/>
    <n v="95"/>
    <n v="85"/>
    <n v="265"/>
    <n v="88.333333333333329"/>
    <x v="4"/>
    <m/>
  </r>
  <r>
    <n v="22040"/>
    <s v="Vansh"/>
    <x v="0"/>
    <n v="100"/>
    <n v="67"/>
    <n v="87"/>
    <n v="254"/>
    <n v="84.666666666666671"/>
    <x v="2"/>
    <m/>
  </r>
  <r>
    <n v="22041"/>
    <s v="Rahul"/>
    <x v="0"/>
    <n v="62"/>
    <n v="88"/>
    <n v="97"/>
    <n v="247"/>
    <n v="82.333333333333329"/>
    <x v="2"/>
    <m/>
  </r>
  <r>
    <n v="22042"/>
    <s v="Vrinda"/>
    <x v="1"/>
    <n v="69"/>
    <n v="79"/>
    <n v="96"/>
    <n v="244"/>
    <n v="81.333333333333329"/>
    <x v="2"/>
    <m/>
  </r>
  <r>
    <n v="22043"/>
    <s v="Alice"/>
    <x v="1"/>
    <n v="96"/>
    <n v="68"/>
    <n v="70"/>
    <n v="234"/>
    <n v="78"/>
    <x v="2"/>
    <m/>
  </r>
  <r>
    <n v="22044"/>
    <s v="Sapna"/>
    <x v="1"/>
    <n v="87"/>
    <n v="67"/>
    <n v="71"/>
    <n v="225"/>
    <n v="75"/>
    <x v="2"/>
    <m/>
  </r>
  <r>
    <n v="22045"/>
    <s v="Aditi"/>
    <x v="1"/>
    <n v="92"/>
    <n v="55"/>
    <n v="83"/>
    <n v="230"/>
    <n v="76.666666666666671"/>
    <x v="2"/>
    <m/>
  </r>
  <r>
    <n v="22046"/>
    <s v="Aaditya"/>
    <x v="0"/>
    <n v="63"/>
    <n v="98"/>
    <n v="82"/>
    <n v="243"/>
    <n v="81"/>
    <x v="2"/>
    <m/>
  </r>
  <r>
    <n v="22047"/>
    <s v="Aman"/>
    <x v="0"/>
    <n v="71"/>
    <n v="92"/>
    <n v="86"/>
    <n v="249"/>
    <n v="83"/>
    <x v="2"/>
    <m/>
  </r>
  <r>
    <n v="22048"/>
    <s v="Shivam"/>
    <x v="0"/>
    <n v="79"/>
    <n v="93"/>
    <n v="94"/>
    <n v="266"/>
    <n v="88.666666666666671"/>
    <x v="4"/>
    <m/>
  </r>
  <r>
    <n v="22049"/>
    <s v="Harish"/>
    <x v="0"/>
    <n v="72"/>
    <n v="97"/>
    <n v="77"/>
    <n v="246"/>
    <n v="82"/>
    <x v="2"/>
    <m/>
  </r>
  <r>
    <n v="22050"/>
    <s v="Sumit"/>
    <x v="0"/>
    <n v="88"/>
    <n v="96"/>
    <n v="55"/>
    <n v="239"/>
    <n v="79.666666666666671"/>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4EC75-AF7D-4709-B425-CB5C6AC8FA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G10" firstHeaderRow="1" firstDataRow="1" firstDataCol="1"/>
  <pivotFields count="10">
    <pivotField showAll="0"/>
    <pivotField showAll="0"/>
    <pivotField showAll="0">
      <items count="3">
        <item x="1"/>
        <item x="0"/>
        <item t="default"/>
      </items>
    </pivotField>
    <pivotField numFmtId="1" showAll="0"/>
    <pivotField numFmtId="1" showAll="0"/>
    <pivotField numFmtId="1" showAll="0"/>
    <pivotField numFmtId="1" showAll="0"/>
    <pivotField numFmtId="1" showAll="0"/>
    <pivotField axis="axisRow" dataField="1" showAll="0">
      <items count="6">
        <item x="4"/>
        <item x="3"/>
        <item x="0"/>
        <item x="2"/>
        <item x="1"/>
        <item t="default"/>
      </items>
    </pivotField>
    <pivotField showAll="0"/>
  </pivotFields>
  <rowFields count="1">
    <field x="8"/>
  </rowFields>
  <rowItems count="6">
    <i>
      <x/>
    </i>
    <i>
      <x v="1"/>
    </i>
    <i>
      <x v="2"/>
    </i>
    <i>
      <x v="3"/>
    </i>
    <i>
      <x v="4"/>
    </i>
    <i t="grand">
      <x/>
    </i>
  </rowItems>
  <colItems count="1">
    <i/>
  </colItems>
  <dataFields count="1">
    <dataField name="Count of Grade" fld="8" subtotal="count" baseField="0" baseItem="0"/>
  </dataFields>
  <formats count="12">
    <format dxfId="110">
      <pivotArea type="all" dataOnly="0" outline="0" fieldPosition="0"/>
    </format>
    <format dxfId="109">
      <pivotArea outline="0" collapsedLevelsAreSubtotals="1" fieldPosition="0"/>
    </format>
    <format dxfId="108">
      <pivotArea field="8" type="button" dataOnly="0" labelOnly="1" outline="0" axis="axisRow" fieldPosition="0"/>
    </format>
    <format dxfId="107">
      <pivotArea dataOnly="0" labelOnly="1" fieldPosition="0">
        <references count="1">
          <reference field="8" count="0"/>
        </references>
      </pivotArea>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8" type="button" dataOnly="0" labelOnly="1" outline="0" axis="axisRow" fieldPosition="0"/>
    </format>
    <format dxfId="101">
      <pivotArea dataOnly="0" labelOnly="1" fieldPosition="0">
        <references count="1">
          <reference field="8" count="0"/>
        </references>
      </pivotArea>
    </format>
    <format dxfId="100">
      <pivotArea dataOnly="0" labelOnly="1" grandRow="1" outline="0" fieldPosition="0"/>
    </format>
    <format dxfId="9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8" count="1" selected="0">
            <x v="0"/>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2"/>
          </reference>
        </references>
      </pivotArea>
    </chartFormat>
    <chartFormat chart="6" format="11">
      <pivotArea type="data" outline="0" fieldPosition="0">
        <references count="2">
          <reference field="4294967294" count="1" selected="0">
            <x v="0"/>
          </reference>
          <reference field="8" count="1" selected="0">
            <x v="3"/>
          </reference>
        </references>
      </pivotArea>
    </chartFormat>
    <chartFormat chart="6"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C32ED-8A6D-49A8-B7D4-D18C7E0EFB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8" firstHeaderRow="1" firstDataRow="1" firstDataCol="1"/>
  <pivotFields count="10">
    <pivotField showAll="0"/>
    <pivotField showAll="0"/>
    <pivotField axis="axisRow" showAll="0">
      <items count="3">
        <item x="1"/>
        <item x="0"/>
        <item t="default"/>
      </items>
    </pivotField>
    <pivotField numFmtId="1" showAll="0"/>
    <pivotField numFmtId="1" showAll="0"/>
    <pivotField numFmtId="1" showAll="0"/>
    <pivotField dataField="1" numFmtId="1" showAll="0"/>
    <pivotField numFmtId="1" showAll="0"/>
    <pivotField showAll="0"/>
    <pivotField showAll="0"/>
  </pivotFields>
  <rowFields count="1">
    <field x="2"/>
  </rowFields>
  <rowItems count="3">
    <i>
      <x/>
    </i>
    <i>
      <x v="1"/>
    </i>
    <i t="grand">
      <x/>
    </i>
  </rowItems>
  <colItems count="1">
    <i/>
  </colItems>
  <dataFields count="1">
    <dataField name="Average of Total" fld="6" subtotal="average" baseField="2" baseItem="1" numFmtId="1"/>
  </dataFields>
  <formats count="12">
    <format dxfId="122">
      <pivotArea type="all" dataOnly="0" outline="0" fieldPosition="0"/>
    </format>
    <format dxfId="121">
      <pivotArea outline="0" collapsedLevelsAreSubtotals="1" fieldPosition="0"/>
    </format>
    <format dxfId="120">
      <pivotArea field="2" type="button" dataOnly="0" labelOnly="1" outline="0" axis="axisRow" fieldPosition="0"/>
    </format>
    <format dxfId="119">
      <pivotArea dataOnly="0" labelOnly="1" fieldPosition="0">
        <references count="1">
          <reference field="2" count="0"/>
        </references>
      </pivotArea>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dataOnly="0" labelOnly="1" fieldPosition="0">
        <references count="1">
          <reference field="2" count="0"/>
        </references>
      </pivotArea>
    </format>
    <format dxfId="112">
      <pivotArea dataOnly="0" labelOnly="1" grandRow="1" outline="0" fieldPosition="0"/>
    </format>
    <format dxfId="1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507716-68A6-4265-8909-B3D79E6150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L5" firstHeaderRow="0" firstDataRow="1" firstDataCol="0"/>
  <pivotFields count="10">
    <pivotField showAll="0"/>
    <pivotField showAll="0"/>
    <pivotField showAll="0">
      <items count="3">
        <item x="1"/>
        <item x="0"/>
        <item t="default"/>
      </items>
    </pivotField>
    <pivotField dataField="1" numFmtId="1" showAll="0"/>
    <pivotField dataField="1" numFmtId="1" showAll="0"/>
    <pivotField dataField="1" numFmtId="1" showAll="0"/>
    <pivotField numFmtId="1" showAll="0"/>
    <pivotField numFmtId="1" showAll="0"/>
    <pivotField showAll="0"/>
    <pivotField showAll="0"/>
  </pivotFields>
  <rowItems count="1">
    <i/>
  </rowItems>
  <colFields count="1">
    <field x="-2"/>
  </colFields>
  <colItems count="3">
    <i>
      <x/>
    </i>
    <i i="1">
      <x v="1"/>
    </i>
    <i i="2">
      <x v="2"/>
    </i>
  </colItems>
  <dataFields count="3">
    <dataField name="Average of Math " fld="3" subtotal="average" baseField="0" baseItem="1" numFmtId="1"/>
    <dataField name="Average of Science" fld="5" subtotal="average" baseField="0" baseItem="1" numFmtId="1"/>
    <dataField name="Average of English" fld="4" subtotal="average" baseField="0" baseItem="1" numFmtId="1"/>
  </dataFields>
  <formats count="9">
    <format dxfId="131">
      <pivotArea type="all" dataOnly="0" outline="0" fieldPosition="0"/>
    </format>
    <format dxfId="130">
      <pivotArea outline="0" collapsedLevelsAreSubtotals="1" fieldPosition="0"/>
    </format>
    <format dxfId="129">
      <pivotArea dataOnly="0" labelOnly="1" outline="0" fieldPosition="0">
        <references count="1">
          <reference field="4294967294" count="3">
            <x v="0"/>
            <x v="1"/>
            <x v="2"/>
          </reference>
        </references>
      </pivotArea>
    </format>
    <format dxfId="128">
      <pivotArea type="all" dataOnly="0" outline="0" fieldPosition="0"/>
    </format>
    <format dxfId="127">
      <pivotArea outline="0" collapsedLevelsAreSubtotals="1" fieldPosition="0"/>
    </format>
    <format dxfId="126">
      <pivotArea dataOnly="0" labelOnly="1" outline="0" fieldPosition="0">
        <references count="1">
          <reference field="4294967294" count="3">
            <x v="0"/>
            <x v="1"/>
            <x v="2"/>
          </reference>
        </references>
      </pivotArea>
    </format>
    <format dxfId="125">
      <pivotArea outline="0" collapsedLevelsAreSubtotals="1" fieldPosition="0">
        <references count="1">
          <reference field="4294967294" count="1" selected="0">
            <x v="0"/>
          </reference>
        </references>
      </pivotArea>
    </format>
    <format dxfId="124">
      <pivotArea outline="0" collapsedLevelsAreSubtotals="1" fieldPosition="0">
        <references count="1">
          <reference field="4294967294" count="1" selected="0">
            <x v="1"/>
          </reference>
        </references>
      </pivotArea>
    </format>
    <format dxfId="123">
      <pivotArea outline="0" collapsedLevelsAreSubtotals="1"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B574E3-7D6C-4918-A321-FBA5F256EF37}" sourceName="Gender">
  <pivotTables>
    <pivotTable tabId="3" name="PivotTable3"/>
    <pivotTable tabId="3" name="PivotTable4"/>
    <pivotTable tabId="3" name="PivotTable5"/>
  </pivotTables>
  <data>
    <tabular pivotCacheId="3280331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720FFB-F654-4968-B599-6583FA22F172}"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FBFF-20FF-4DD5-97C4-ECDDE94FD365}">
  <dimension ref="A1:J51"/>
  <sheetViews>
    <sheetView workbookViewId="0">
      <selection activeCell="L13" sqref="L13"/>
    </sheetView>
  </sheetViews>
  <sheetFormatPr defaultRowHeight="14.4" x14ac:dyDescent="0.3"/>
  <cols>
    <col min="1" max="1" width="16.77734375" style="1" customWidth="1"/>
    <col min="2" max="2" width="21.88671875" style="1" customWidth="1"/>
    <col min="3" max="3" width="15.77734375" style="1" customWidth="1"/>
    <col min="4" max="4" width="16.109375" style="2" customWidth="1"/>
    <col min="5" max="5" width="14.88671875" style="2" customWidth="1"/>
    <col min="6" max="6" width="15.77734375" style="2" customWidth="1"/>
    <col min="7" max="7" width="15.33203125" style="2" customWidth="1"/>
    <col min="8" max="8" width="16.88671875" style="3" customWidth="1"/>
    <col min="9" max="9" width="22.33203125" style="1" customWidth="1"/>
    <col min="10" max="10" width="18.77734375" style="1" customWidth="1"/>
  </cols>
  <sheetData>
    <row r="1" spans="1:10" s="7" customFormat="1" ht="28.2" customHeight="1" x14ac:dyDescent="0.3">
      <c r="A1" s="4" t="s">
        <v>0</v>
      </c>
      <c r="B1" s="4" t="s">
        <v>1</v>
      </c>
      <c r="C1" s="4" t="s">
        <v>2</v>
      </c>
      <c r="D1" s="5" t="s">
        <v>3</v>
      </c>
      <c r="E1" s="5" t="s">
        <v>4</v>
      </c>
      <c r="F1" s="5" t="s">
        <v>5</v>
      </c>
      <c r="G1" s="5" t="s">
        <v>6</v>
      </c>
      <c r="H1" s="6" t="s">
        <v>7</v>
      </c>
      <c r="I1" s="4" t="s">
        <v>8</v>
      </c>
      <c r="J1" s="1" t="s">
        <v>51</v>
      </c>
    </row>
    <row r="2" spans="1:10" ht="18" x14ac:dyDescent="0.35">
      <c r="A2" s="8">
        <v>22001</v>
      </c>
      <c r="B2" s="8" t="s">
        <v>11</v>
      </c>
      <c r="C2" s="8" t="s">
        <v>9</v>
      </c>
      <c r="D2" s="9">
        <v>83</v>
      </c>
      <c r="E2" s="9">
        <v>67</v>
      </c>
      <c r="F2" s="9">
        <v>60</v>
      </c>
      <c r="G2" s="9">
        <f>SUM(D2:F2)</f>
        <v>210</v>
      </c>
      <c r="H2" s="10">
        <f>G2/3</f>
        <v>70</v>
      </c>
      <c r="I2" s="8" t="str">
        <f>IF(H2&gt;=90,"A+",IF(H2&gt;=85,"A",IF(H2&gt;=75,"B+",IF(H2&gt;=68,"B",IF(H2&gt;=55,"C+")))))</f>
        <v>B</v>
      </c>
      <c r="J2" s="2">
        <f>AVERAGE(G2:G51)</f>
        <v>235.6</v>
      </c>
    </row>
    <row r="3" spans="1:10" ht="18" x14ac:dyDescent="0.35">
      <c r="A3" s="8">
        <v>22002</v>
      </c>
      <c r="B3" s="8" t="s">
        <v>12</v>
      </c>
      <c r="C3" s="8" t="s">
        <v>10</v>
      </c>
      <c r="D3" s="9">
        <v>89</v>
      </c>
      <c r="E3" s="9">
        <v>64</v>
      </c>
      <c r="F3" s="9">
        <v>64</v>
      </c>
      <c r="G3" s="9">
        <f t="shared" ref="G3:G51" si="0">SUM(D3:F3)</f>
        <v>217</v>
      </c>
      <c r="H3" s="10">
        <f t="shared" ref="H3:H51" si="1">G3/3</f>
        <v>72.333333333333329</v>
      </c>
      <c r="I3" s="8" t="str">
        <f t="shared" ref="I3:I6" si="2">IF(H3&gt;=90,"A+",IF(H3&gt;=85,"A",IF(H3&gt;=75,"B+",IF(H3&gt;=68,"B",IF(H3&gt;=55,"C+")))))</f>
        <v>B</v>
      </c>
    </row>
    <row r="4" spans="1:10" ht="18" x14ac:dyDescent="0.35">
      <c r="A4" s="8">
        <v>22003</v>
      </c>
      <c r="B4" s="8" t="s">
        <v>13</v>
      </c>
      <c r="C4" s="8" t="s">
        <v>10</v>
      </c>
      <c r="D4" s="9">
        <v>53</v>
      </c>
      <c r="E4" s="9">
        <v>61</v>
      </c>
      <c r="F4" s="9">
        <v>51</v>
      </c>
      <c r="G4" s="9">
        <f t="shared" si="0"/>
        <v>165</v>
      </c>
      <c r="H4" s="10">
        <f t="shared" si="1"/>
        <v>55</v>
      </c>
      <c r="I4" s="8" t="str">
        <f t="shared" si="2"/>
        <v>C+</v>
      </c>
      <c r="J4" s="1" t="s">
        <v>52</v>
      </c>
    </row>
    <row r="5" spans="1:10" ht="18" x14ac:dyDescent="0.35">
      <c r="A5" s="8">
        <v>22004</v>
      </c>
      <c r="B5" s="8" t="s">
        <v>14</v>
      </c>
      <c r="C5" s="8" t="s">
        <v>10</v>
      </c>
      <c r="D5" s="9">
        <v>58</v>
      </c>
      <c r="E5" s="9">
        <v>83</v>
      </c>
      <c r="F5" s="9">
        <v>77</v>
      </c>
      <c r="G5" s="9">
        <f t="shared" si="0"/>
        <v>218</v>
      </c>
      <c r="H5" s="10">
        <f t="shared" si="1"/>
        <v>72.666666666666671</v>
      </c>
      <c r="I5" s="8" t="str">
        <f t="shared" si="2"/>
        <v>B</v>
      </c>
      <c r="J5" s="2">
        <f>MAX(G2:G51)</f>
        <v>283</v>
      </c>
    </row>
    <row r="6" spans="1:10" ht="18" x14ac:dyDescent="0.35">
      <c r="A6" s="8">
        <v>22005</v>
      </c>
      <c r="B6" s="8" t="s">
        <v>15</v>
      </c>
      <c r="C6" s="8" t="s">
        <v>10</v>
      </c>
      <c r="D6" s="9">
        <v>55</v>
      </c>
      <c r="E6" s="9">
        <v>77</v>
      </c>
      <c r="F6" s="9">
        <v>100</v>
      </c>
      <c r="G6" s="9">
        <f t="shared" si="0"/>
        <v>232</v>
      </c>
      <c r="H6" s="10">
        <f t="shared" si="1"/>
        <v>77.333333333333329</v>
      </c>
      <c r="I6" s="8" t="str">
        <f t="shared" si="2"/>
        <v>B+</v>
      </c>
    </row>
    <row r="7" spans="1:10" ht="18" x14ac:dyDescent="0.35">
      <c r="A7" s="8">
        <v>22006</v>
      </c>
      <c r="B7" s="8" t="s">
        <v>47</v>
      </c>
      <c r="C7" s="8" t="s">
        <v>9</v>
      </c>
      <c r="D7" s="9">
        <v>89</v>
      </c>
      <c r="E7" s="9">
        <v>97</v>
      </c>
      <c r="F7" s="9">
        <v>97</v>
      </c>
      <c r="G7" s="9">
        <f t="shared" si="0"/>
        <v>283</v>
      </c>
      <c r="H7" s="10">
        <f t="shared" si="1"/>
        <v>94.333333333333329</v>
      </c>
      <c r="I7" s="8" t="str">
        <f t="shared" ref="I7:I51" si="3">IF(H7&gt;=90,"A+",IF(H7&gt;=85,"A",IF(H7&gt;=75,"B+",IF(H7&gt;=68,"B"))))</f>
        <v>A+</v>
      </c>
      <c r="J7" s="1" t="s">
        <v>53</v>
      </c>
    </row>
    <row r="8" spans="1:10" ht="18" x14ac:dyDescent="0.35">
      <c r="A8" s="8">
        <v>22007</v>
      </c>
      <c r="B8" s="8" t="s">
        <v>40</v>
      </c>
      <c r="C8" s="8" t="s">
        <v>9</v>
      </c>
      <c r="D8" s="9">
        <v>79</v>
      </c>
      <c r="E8" s="9">
        <v>52</v>
      </c>
      <c r="F8" s="9">
        <v>88</v>
      </c>
      <c r="G8" s="9">
        <f t="shared" si="0"/>
        <v>219</v>
      </c>
      <c r="H8" s="10">
        <f t="shared" si="1"/>
        <v>73</v>
      </c>
      <c r="I8" s="8" t="str">
        <f t="shared" si="3"/>
        <v>B</v>
      </c>
      <c r="J8" s="2">
        <f>MIN(G2:G51)</f>
        <v>165</v>
      </c>
    </row>
    <row r="9" spans="1:10" ht="18" x14ac:dyDescent="0.35">
      <c r="A9" s="8">
        <v>22008</v>
      </c>
      <c r="B9" s="8" t="s">
        <v>48</v>
      </c>
      <c r="C9" s="8" t="s">
        <v>9</v>
      </c>
      <c r="D9" s="9">
        <v>59</v>
      </c>
      <c r="E9" s="9">
        <v>91</v>
      </c>
      <c r="F9" s="9">
        <v>59</v>
      </c>
      <c r="G9" s="9">
        <f t="shared" si="0"/>
        <v>209</v>
      </c>
      <c r="H9" s="10">
        <f t="shared" si="1"/>
        <v>69.666666666666671</v>
      </c>
      <c r="I9" s="8" t="str">
        <f t="shared" si="3"/>
        <v>B</v>
      </c>
    </row>
    <row r="10" spans="1:10" ht="18" x14ac:dyDescent="0.35">
      <c r="A10" s="8">
        <v>22009</v>
      </c>
      <c r="B10" s="8" t="s">
        <v>32</v>
      </c>
      <c r="C10" s="8" t="s">
        <v>9</v>
      </c>
      <c r="D10" s="9">
        <v>98</v>
      </c>
      <c r="E10" s="9">
        <v>52</v>
      </c>
      <c r="F10" s="9">
        <v>87</v>
      </c>
      <c r="G10" s="9">
        <f t="shared" si="0"/>
        <v>237</v>
      </c>
      <c r="H10" s="10">
        <f t="shared" si="1"/>
        <v>79</v>
      </c>
      <c r="I10" s="8" t="str">
        <f t="shared" si="3"/>
        <v>B+</v>
      </c>
    </row>
    <row r="11" spans="1:10" ht="18" x14ac:dyDescent="0.35">
      <c r="A11" s="8">
        <v>22010</v>
      </c>
      <c r="B11" s="8" t="s">
        <v>39</v>
      </c>
      <c r="C11" s="8" t="s">
        <v>9</v>
      </c>
      <c r="D11" s="9">
        <v>78</v>
      </c>
      <c r="E11" s="9">
        <v>61</v>
      </c>
      <c r="F11" s="9">
        <v>88</v>
      </c>
      <c r="G11" s="9">
        <f t="shared" si="0"/>
        <v>227</v>
      </c>
      <c r="H11" s="10">
        <f t="shared" si="1"/>
        <v>75.666666666666671</v>
      </c>
      <c r="I11" s="8" t="str">
        <f t="shared" si="3"/>
        <v>B+</v>
      </c>
    </row>
    <row r="12" spans="1:10" ht="18" x14ac:dyDescent="0.35">
      <c r="A12" s="8">
        <v>22011</v>
      </c>
      <c r="B12" s="8" t="s">
        <v>49</v>
      </c>
      <c r="C12" s="8" t="s">
        <v>9</v>
      </c>
      <c r="D12" s="9">
        <v>88</v>
      </c>
      <c r="E12" s="9">
        <v>80</v>
      </c>
      <c r="F12" s="9">
        <v>79</v>
      </c>
      <c r="G12" s="9">
        <f t="shared" si="0"/>
        <v>247</v>
      </c>
      <c r="H12" s="10">
        <f t="shared" si="1"/>
        <v>82.333333333333329</v>
      </c>
      <c r="I12" s="8" t="str">
        <f t="shared" si="3"/>
        <v>B+</v>
      </c>
    </row>
    <row r="13" spans="1:10" ht="18" x14ac:dyDescent="0.35">
      <c r="A13" s="8">
        <v>22012</v>
      </c>
      <c r="B13" s="8" t="s">
        <v>50</v>
      </c>
      <c r="C13" s="8" t="s">
        <v>9</v>
      </c>
      <c r="D13" s="9">
        <v>88</v>
      </c>
      <c r="E13" s="9">
        <v>54</v>
      </c>
      <c r="F13" s="9">
        <v>85</v>
      </c>
      <c r="G13" s="9">
        <f t="shared" si="0"/>
        <v>227</v>
      </c>
      <c r="H13" s="10">
        <f t="shared" si="1"/>
        <v>75.666666666666671</v>
      </c>
      <c r="I13" s="8" t="str">
        <f t="shared" si="3"/>
        <v>B+</v>
      </c>
    </row>
    <row r="14" spans="1:10" ht="18" x14ac:dyDescent="0.35">
      <c r="A14" s="8">
        <v>22013</v>
      </c>
      <c r="B14" s="8" t="s">
        <v>16</v>
      </c>
      <c r="C14" s="8" t="s">
        <v>10</v>
      </c>
      <c r="D14" s="9">
        <v>69</v>
      </c>
      <c r="E14" s="9">
        <v>70</v>
      </c>
      <c r="F14" s="9">
        <v>74</v>
      </c>
      <c r="G14" s="9">
        <f t="shared" si="0"/>
        <v>213</v>
      </c>
      <c r="H14" s="10">
        <f t="shared" si="1"/>
        <v>71</v>
      </c>
      <c r="I14" s="8" t="str">
        <f t="shared" si="3"/>
        <v>B</v>
      </c>
    </row>
    <row r="15" spans="1:10" ht="18" x14ac:dyDescent="0.35">
      <c r="A15" s="8">
        <v>22014</v>
      </c>
      <c r="B15" s="8" t="s">
        <v>17</v>
      </c>
      <c r="C15" s="8" t="s">
        <v>10</v>
      </c>
      <c r="D15" s="9">
        <v>79</v>
      </c>
      <c r="E15" s="9">
        <v>65</v>
      </c>
      <c r="F15" s="9">
        <v>90</v>
      </c>
      <c r="G15" s="9">
        <f t="shared" si="0"/>
        <v>234</v>
      </c>
      <c r="H15" s="10">
        <f t="shared" si="1"/>
        <v>78</v>
      </c>
      <c r="I15" s="8" t="str">
        <f t="shared" si="3"/>
        <v>B+</v>
      </c>
    </row>
    <row r="16" spans="1:10" ht="18" x14ac:dyDescent="0.35">
      <c r="A16" s="8">
        <v>22015</v>
      </c>
      <c r="B16" s="8" t="s">
        <v>18</v>
      </c>
      <c r="C16" s="8" t="s">
        <v>10</v>
      </c>
      <c r="D16" s="9">
        <v>73</v>
      </c>
      <c r="E16" s="9">
        <v>99</v>
      </c>
      <c r="F16" s="9">
        <v>81</v>
      </c>
      <c r="G16" s="9">
        <f t="shared" si="0"/>
        <v>253</v>
      </c>
      <c r="H16" s="10">
        <f t="shared" si="1"/>
        <v>84.333333333333329</v>
      </c>
      <c r="I16" s="8" t="str">
        <f t="shared" si="3"/>
        <v>B+</v>
      </c>
    </row>
    <row r="17" spans="1:9" ht="18" x14ac:dyDescent="0.35">
      <c r="A17" s="8">
        <v>22016</v>
      </c>
      <c r="B17" s="8" t="s">
        <v>37</v>
      </c>
      <c r="C17" s="8" t="s">
        <v>9</v>
      </c>
      <c r="D17" s="9">
        <v>72</v>
      </c>
      <c r="E17" s="9">
        <v>78</v>
      </c>
      <c r="F17" s="9">
        <v>90</v>
      </c>
      <c r="G17" s="9">
        <f t="shared" si="0"/>
        <v>240</v>
      </c>
      <c r="H17" s="10">
        <f t="shared" si="1"/>
        <v>80</v>
      </c>
      <c r="I17" s="8" t="str">
        <f t="shared" si="3"/>
        <v>B+</v>
      </c>
    </row>
    <row r="18" spans="1:9" ht="18" x14ac:dyDescent="0.35">
      <c r="A18" s="8">
        <v>22017</v>
      </c>
      <c r="B18" s="8" t="s">
        <v>39</v>
      </c>
      <c r="C18" s="8" t="s">
        <v>9</v>
      </c>
      <c r="D18" s="9">
        <v>81</v>
      </c>
      <c r="E18" s="9">
        <v>85</v>
      </c>
      <c r="F18" s="9">
        <v>99</v>
      </c>
      <c r="G18" s="9">
        <f t="shared" si="0"/>
        <v>265</v>
      </c>
      <c r="H18" s="10">
        <f t="shared" si="1"/>
        <v>88.333333333333329</v>
      </c>
      <c r="I18" s="8" t="str">
        <f t="shared" si="3"/>
        <v>A</v>
      </c>
    </row>
    <row r="19" spans="1:9" ht="18" x14ac:dyDescent="0.35">
      <c r="A19" s="8">
        <v>22018</v>
      </c>
      <c r="B19" s="8" t="s">
        <v>19</v>
      </c>
      <c r="C19" s="8" t="s">
        <v>10</v>
      </c>
      <c r="D19" s="9">
        <v>91</v>
      </c>
      <c r="E19" s="9">
        <v>69</v>
      </c>
      <c r="F19" s="9">
        <v>60</v>
      </c>
      <c r="G19" s="9">
        <f t="shared" si="0"/>
        <v>220</v>
      </c>
      <c r="H19" s="10">
        <f t="shared" si="1"/>
        <v>73.333333333333329</v>
      </c>
      <c r="I19" s="8" t="str">
        <f t="shared" si="3"/>
        <v>B</v>
      </c>
    </row>
    <row r="20" spans="1:9" ht="18" x14ac:dyDescent="0.35">
      <c r="A20" s="8">
        <v>22019</v>
      </c>
      <c r="B20" s="8" t="s">
        <v>40</v>
      </c>
      <c r="C20" s="8" t="s">
        <v>9</v>
      </c>
      <c r="D20" s="9">
        <v>91</v>
      </c>
      <c r="E20" s="9">
        <v>77</v>
      </c>
      <c r="F20" s="9">
        <v>93</v>
      </c>
      <c r="G20" s="9">
        <f t="shared" si="0"/>
        <v>261</v>
      </c>
      <c r="H20" s="10">
        <f t="shared" si="1"/>
        <v>87</v>
      </c>
      <c r="I20" s="8" t="str">
        <f t="shared" si="3"/>
        <v>A</v>
      </c>
    </row>
    <row r="21" spans="1:9" ht="18" x14ac:dyDescent="0.35">
      <c r="A21" s="8">
        <v>22020</v>
      </c>
      <c r="B21" s="8" t="s">
        <v>41</v>
      </c>
      <c r="C21" s="8" t="s">
        <v>9</v>
      </c>
      <c r="D21" s="9">
        <v>99</v>
      </c>
      <c r="E21" s="9">
        <v>71</v>
      </c>
      <c r="F21" s="9">
        <v>70</v>
      </c>
      <c r="G21" s="9">
        <f t="shared" si="0"/>
        <v>240</v>
      </c>
      <c r="H21" s="10">
        <f t="shared" si="1"/>
        <v>80</v>
      </c>
      <c r="I21" s="8" t="str">
        <f t="shared" si="3"/>
        <v>B+</v>
      </c>
    </row>
    <row r="22" spans="1:9" ht="18" x14ac:dyDescent="0.35">
      <c r="A22" s="8">
        <v>22021</v>
      </c>
      <c r="B22" s="8" t="s">
        <v>42</v>
      </c>
      <c r="C22" s="8" t="s">
        <v>9</v>
      </c>
      <c r="D22" s="9">
        <v>59</v>
      </c>
      <c r="E22" s="9">
        <v>78</v>
      </c>
      <c r="F22" s="9">
        <v>72</v>
      </c>
      <c r="G22" s="9">
        <f t="shared" si="0"/>
        <v>209</v>
      </c>
      <c r="H22" s="10">
        <f t="shared" si="1"/>
        <v>69.666666666666671</v>
      </c>
      <c r="I22" s="8" t="str">
        <f t="shared" si="3"/>
        <v>B</v>
      </c>
    </row>
    <row r="23" spans="1:9" ht="18" x14ac:dyDescent="0.35">
      <c r="A23" s="8">
        <v>22022</v>
      </c>
      <c r="B23" s="8" t="s">
        <v>43</v>
      </c>
      <c r="C23" s="8" t="s">
        <v>9</v>
      </c>
      <c r="D23" s="9">
        <v>86</v>
      </c>
      <c r="E23" s="9">
        <v>98</v>
      </c>
      <c r="F23" s="9">
        <v>84</v>
      </c>
      <c r="G23" s="9">
        <f t="shared" si="0"/>
        <v>268</v>
      </c>
      <c r="H23" s="10">
        <f t="shared" si="1"/>
        <v>89.333333333333329</v>
      </c>
      <c r="I23" s="8" t="str">
        <f t="shared" si="3"/>
        <v>A</v>
      </c>
    </row>
    <row r="24" spans="1:9" ht="18" x14ac:dyDescent="0.35">
      <c r="A24" s="8">
        <v>22023</v>
      </c>
      <c r="B24" s="8" t="s">
        <v>44</v>
      </c>
      <c r="C24" s="8" t="s">
        <v>9</v>
      </c>
      <c r="D24" s="9">
        <v>77</v>
      </c>
      <c r="E24" s="9">
        <v>85</v>
      </c>
      <c r="F24" s="9">
        <v>86</v>
      </c>
      <c r="G24" s="9">
        <f t="shared" si="0"/>
        <v>248</v>
      </c>
      <c r="H24" s="10">
        <f t="shared" si="1"/>
        <v>82.666666666666671</v>
      </c>
      <c r="I24" s="8" t="str">
        <f t="shared" si="3"/>
        <v>B+</v>
      </c>
    </row>
    <row r="25" spans="1:9" ht="18" x14ac:dyDescent="0.35">
      <c r="A25" s="8">
        <v>22024</v>
      </c>
      <c r="B25" s="8" t="s">
        <v>45</v>
      </c>
      <c r="C25" s="8" t="s">
        <v>9</v>
      </c>
      <c r="D25" s="9">
        <v>98</v>
      </c>
      <c r="E25" s="9">
        <v>84</v>
      </c>
      <c r="F25" s="9">
        <v>81</v>
      </c>
      <c r="G25" s="9">
        <f t="shared" si="0"/>
        <v>263</v>
      </c>
      <c r="H25" s="10">
        <f t="shared" si="1"/>
        <v>87.666666666666671</v>
      </c>
      <c r="I25" s="8" t="str">
        <f t="shared" si="3"/>
        <v>A</v>
      </c>
    </row>
    <row r="26" spans="1:9" ht="18" x14ac:dyDescent="0.35">
      <c r="A26" s="8">
        <v>22025</v>
      </c>
      <c r="B26" s="8" t="s">
        <v>35</v>
      </c>
      <c r="C26" s="8" t="s">
        <v>9</v>
      </c>
      <c r="D26" s="9">
        <v>82</v>
      </c>
      <c r="E26" s="9">
        <v>96</v>
      </c>
      <c r="F26" s="9">
        <v>97</v>
      </c>
      <c r="G26" s="9">
        <f t="shared" si="0"/>
        <v>275</v>
      </c>
      <c r="H26" s="10">
        <f t="shared" si="1"/>
        <v>91.666666666666671</v>
      </c>
      <c r="I26" s="8" t="str">
        <f t="shared" si="3"/>
        <v>A+</v>
      </c>
    </row>
    <row r="27" spans="1:9" ht="18" x14ac:dyDescent="0.35">
      <c r="A27" s="8">
        <v>22026</v>
      </c>
      <c r="B27" s="8" t="s">
        <v>46</v>
      </c>
      <c r="C27" s="8" t="s">
        <v>9</v>
      </c>
      <c r="D27" s="9">
        <v>58</v>
      </c>
      <c r="E27" s="9">
        <v>79</v>
      </c>
      <c r="F27" s="9">
        <v>100</v>
      </c>
      <c r="G27" s="9">
        <f t="shared" si="0"/>
        <v>237</v>
      </c>
      <c r="H27" s="10">
        <f t="shared" si="1"/>
        <v>79</v>
      </c>
      <c r="I27" s="8" t="str">
        <f t="shared" si="3"/>
        <v>B+</v>
      </c>
    </row>
    <row r="28" spans="1:9" ht="18" x14ac:dyDescent="0.35">
      <c r="A28" s="8">
        <v>22027</v>
      </c>
      <c r="B28" s="8" t="s">
        <v>20</v>
      </c>
      <c r="C28" s="8" t="s">
        <v>10</v>
      </c>
      <c r="D28" s="9">
        <v>66</v>
      </c>
      <c r="E28" s="9">
        <v>82</v>
      </c>
      <c r="F28" s="9">
        <v>70</v>
      </c>
      <c r="G28" s="9">
        <f t="shared" si="0"/>
        <v>218</v>
      </c>
      <c r="H28" s="10">
        <f t="shared" si="1"/>
        <v>72.666666666666671</v>
      </c>
      <c r="I28" s="8" t="str">
        <f t="shared" si="3"/>
        <v>B</v>
      </c>
    </row>
    <row r="29" spans="1:9" ht="18" x14ac:dyDescent="0.35">
      <c r="A29" s="8">
        <v>22028</v>
      </c>
      <c r="B29" s="8" t="s">
        <v>37</v>
      </c>
      <c r="C29" s="8" t="s">
        <v>9</v>
      </c>
      <c r="D29" s="9">
        <v>66</v>
      </c>
      <c r="E29" s="9">
        <v>73</v>
      </c>
      <c r="F29" s="9">
        <v>71</v>
      </c>
      <c r="G29" s="9">
        <f t="shared" si="0"/>
        <v>210</v>
      </c>
      <c r="H29" s="10">
        <f t="shared" si="1"/>
        <v>70</v>
      </c>
      <c r="I29" s="8" t="str">
        <f t="shared" si="3"/>
        <v>B</v>
      </c>
    </row>
    <row r="30" spans="1:9" ht="18" x14ac:dyDescent="0.35">
      <c r="A30" s="8">
        <v>22029</v>
      </c>
      <c r="B30" s="8" t="s">
        <v>38</v>
      </c>
      <c r="C30" s="8" t="s">
        <v>9</v>
      </c>
      <c r="D30" s="9">
        <v>52</v>
      </c>
      <c r="E30" s="9">
        <v>91</v>
      </c>
      <c r="F30" s="9">
        <v>91</v>
      </c>
      <c r="G30" s="9">
        <f t="shared" si="0"/>
        <v>234</v>
      </c>
      <c r="H30" s="10">
        <f t="shared" si="1"/>
        <v>78</v>
      </c>
      <c r="I30" s="8" t="str">
        <f t="shared" si="3"/>
        <v>B+</v>
      </c>
    </row>
    <row r="31" spans="1:9" ht="18" x14ac:dyDescent="0.35">
      <c r="A31" s="8">
        <v>22030</v>
      </c>
      <c r="B31" s="8" t="s">
        <v>21</v>
      </c>
      <c r="C31" s="8" t="s">
        <v>10</v>
      </c>
      <c r="D31" s="9">
        <v>78</v>
      </c>
      <c r="E31" s="9">
        <v>76</v>
      </c>
      <c r="F31" s="9">
        <v>76</v>
      </c>
      <c r="G31" s="9">
        <f t="shared" si="0"/>
        <v>230</v>
      </c>
      <c r="H31" s="10">
        <f t="shared" si="1"/>
        <v>76.666666666666671</v>
      </c>
      <c r="I31" s="8" t="str">
        <f t="shared" si="3"/>
        <v>B+</v>
      </c>
    </row>
    <row r="32" spans="1:9" ht="18" x14ac:dyDescent="0.35">
      <c r="A32" s="8">
        <v>22031</v>
      </c>
      <c r="B32" s="8" t="s">
        <v>16</v>
      </c>
      <c r="C32" s="8" t="s">
        <v>10</v>
      </c>
      <c r="D32" s="9">
        <v>84</v>
      </c>
      <c r="E32" s="9">
        <v>74</v>
      </c>
      <c r="F32" s="9">
        <v>55</v>
      </c>
      <c r="G32" s="9">
        <f t="shared" si="0"/>
        <v>213</v>
      </c>
      <c r="H32" s="10">
        <f t="shared" si="1"/>
        <v>71</v>
      </c>
      <c r="I32" s="8" t="str">
        <f t="shared" si="3"/>
        <v>B</v>
      </c>
    </row>
    <row r="33" spans="1:9" ht="18" x14ac:dyDescent="0.35">
      <c r="A33" s="8">
        <v>22032</v>
      </c>
      <c r="B33" s="8" t="s">
        <v>22</v>
      </c>
      <c r="C33" s="8" t="s">
        <v>10</v>
      </c>
      <c r="D33" s="9">
        <v>82</v>
      </c>
      <c r="E33" s="9">
        <v>79</v>
      </c>
      <c r="F33" s="9">
        <v>67</v>
      </c>
      <c r="G33" s="9">
        <f t="shared" si="0"/>
        <v>228</v>
      </c>
      <c r="H33" s="10">
        <f t="shared" si="1"/>
        <v>76</v>
      </c>
      <c r="I33" s="8" t="str">
        <f t="shared" si="3"/>
        <v>B+</v>
      </c>
    </row>
    <row r="34" spans="1:9" ht="18" x14ac:dyDescent="0.35">
      <c r="A34" s="8">
        <v>22033</v>
      </c>
      <c r="B34" s="8" t="s">
        <v>13</v>
      </c>
      <c r="C34" s="8" t="s">
        <v>10</v>
      </c>
      <c r="D34" s="9">
        <v>83</v>
      </c>
      <c r="E34" s="9">
        <v>85</v>
      </c>
      <c r="F34" s="9">
        <v>61</v>
      </c>
      <c r="G34" s="9">
        <f t="shared" si="0"/>
        <v>229</v>
      </c>
      <c r="H34" s="10">
        <f t="shared" si="1"/>
        <v>76.333333333333329</v>
      </c>
      <c r="I34" s="8" t="str">
        <f t="shared" si="3"/>
        <v>B+</v>
      </c>
    </row>
    <row r="35" spans="1:9" ht="18" x14ac:dyDescent="0.35">
      <c r="A35" s="8">
        <v>22034</v>
      </c>
      <c r="B35" s="8" t="s">
        <v>23</v>
      </c>
      <c r="C35" s="8" t="s">
        <v>10</v>
      </c>
      <c r="D35" s="9">
        <v>63</v>
      </c>
      <c r="E35" s="9">
        <v>71</v>
      </c>
      <c r="F35" s="9">
        <v>90</v>
      </c>
      <c r="G35" s="9">
        <f t="shared" si="0"/>
        <v>224</v>
      </c>
      <c r="H35" s="10">
        <f t="shared" si="1"/>
        <v>74.666666666666671</v>
      </c>
      <c r="I35" s="8" t="str">
        <f t="shared" si="3"/>
        <v>B</v>
      </c>
    </row>
    <row r="36" spans="1:9" ht="18" x14ac:dyDescent="0.35">
      <c r="A36" s="8">
        <v>22035</v>
      </c>
      <c r="B36" s="8" t="s">
        <v>24</v>
      </c>
      <c r="C36" s="8" t="s">
        <v>10</v>
      </c>
      <c r="D36" s="9">
        <v>57</v>
      </c>
      <c r="E36" s="9">
        <v>100</v>
      </c>
      <c r="F36" s="9">
        <v>70</v>
      </c>
      <c r="G36" s="9">
        <f t="shared" si="0"/>
        <v>227</v>
      </c>
      <c r="H36" s="10">
        <f t="shared" si="1"/>
        <v>75.666666666666671</v>
      </c>
      <c r="I36" s="8" t="str">
        <f t="shared" si="3"/>
        <v>B+</v>
      </c>
    </row>
    <row r="37" spans="1:9" ht="18" x14ac:dyDescent="0.35">
      <c r="A37" s="8">
        <v>22036</v>
      </c>
      <c r="B37" s="8" t="s">
        <v>18</v>
      </c>
      <c r="C37" s="8" t="s">
        <v>10</v>
      </c>
      <c r="D37" s="9">
        <v>51</v>
      </c>
      <c r="E37" s="9">
        <v>100</v>
      </c>
      <c r="F37" s="9">
        <v>76</v>
      </c>
      <c r="G37" s="9">
        <f t="shared" si="0"/>
        <v>227</v>
      </c>
      <c r="H37" s="10">
        <f t="shared" si="1"/>
        <v>75.666666666666671</v>
      </c>
      <c r="I37" s="8" t="str">
        <f t="shared" si="3"/>
        <v>B+</v>
      </c>
    </row>
    <row r="38" spans="1:9" ht="18" x14ac:dyDescent="0.35">
      <c r="A38" s="8">
        <v>22037</v>
      </c>
      <c r="B38" s="8" t="s">
        <v>25</v>
      </c>
      <c r="C38" s="8" t="s">
        <v>10</v>
      </c>
      <c r="D38" s="9">
        <v>94</v>
      </c>
      <c r="E38" s="9">
        <v>89</v>
      </c>
      <c r="F38" s="9">
        <v>77</v>
      </c>
      <c r="G38" s="9">
        <f t="shared" si="0"/>
        <v>260</v>
      </c>
      <c r="H38" s="10">
        <f t="shared" si="1"/>
        <v>86.666666666666671</v>
      </c>
      <c r="I38" s="8" t="str">
        <f t="shared" si="3"/>
        <v>A</v>
      </c>
    </row>
    <row r="39" spans="1:9" ht="18" x14ac:dyDescent="0.35">
      <c r="A39" s="8">
        <v>22038</v>
      </c>
      <c r="B39" s="8" t="s">
        <v>26</v>
      </c>
      <c r="C39" s="8" t="s">
        <v>10</v>
      </c>
      <c r="D39" s="9">
        <v>77</v>
      </c>
      <c r="E39" s="9">
        <v>79</v>
      </c>
      <c r="F39" s="9">
        <v>65</v>
      </c>
      <c r="G39" s="9">
        <f t="shared" si="0"/>
        <v>221</v>
      </c>
      <c r="H39" s="10">
        <f t="shared" si="1"/>
        <v>73.666666666666671</v>
      </c>
      <c r="I39" s="8" t="str">
        <f t="shared" si="3"/>
        <v>B</v>
      </c>
    </row>
    <row r="40" spans="1:9" ht="18" x14ac:dyDescent="0.35">
      <c r="A40" s="8">
        <v>22039</v>
      </c>
      <c r="B40" s="8" t="s">
        <v>27</v>
      </c>
      <c r="C40" s="8" t="s">
        <v>10</v>
      </c>
      <c r="D40" s="9">
        <v>85</v>
      </c>
      <c r="E40" s="9">
        <v>95</v>
      </c>
      <c r="F40" s="9">
        <v>85</v>
      </c>
      <c r="G40" s="9">
        <f t="shared" si="0"/>
        <v>265</v>
      </c>
      <c r="H40" s="10">
        <f t="shared" si="1"/>
        <v>88.333333333333329</v>
      </c>
      <c r="I40" s="8" t="str">
        <f t="shared" si="3"/>
        <v>A</v>
      </c>
    </row>
    <row r="41" spans="1:9" ht="18" x14ac:dyDescent="0.35">
      <c r="A41" s="8">
        <v>22040</v>
      </c>
      <c r="B41" s="8" t="s">
        <v>36</v>
      </c>
      <c r="C41" s="8" t="s">
        <v>9</v>
      </c>
      <c r="D41" s="9">
        <v>100</v>
      </c>
      <c r="E41" s="9">
        <v>67</v>
      </c>
      <c r="F41" s="9">
        <v>87</v>
      </c>
      <c r="G41" s="9">
        <f t="shared" si="0"/>
        <v>254</v>
      </c>
      <c r="H41" s="10">
        <f t="shared" si="1"/>
        <v>84.666666666666671</v>
      </c>
      <c r="I41" s="8" t="str">
        <f t="shared" si="3"/>
        <v>B+</v>
      </c>
    </row>
    <row r="42" spans="1:9" ht="18" x14ac:dyDescent="0.35">
      <c r="A42" s="8">
        <v>22041</v>
      </c>
      <c r="B42" s="8" t="s">
        <v>11</v>
      </c>
      <c r="C42" s="8" t="s">
        <v>9</v>
      </c>
      <c r="D42" s="9">
        <v>62</v>
      </c>
      <c r="E42" s="9">
        <v>88</v>
      </c>
      <c r="F42" s="9">
        <v>97</v>
      </c>
      <c r="G42" s="9">
        <f t="shared" si="0"/>
        <v>247</v>
      </c>
      <c r="H42" s="10">
        <f t="shared" si="1"/>
        <v>82.333333333333329</v>
      </c>
      <c r="I42" s="8" t="str">
        <f t="shared" si="3"/>
        <v>B+</v>
      </c>
    </row>
    <row r="43" spans="1:9" ht="18" x14ac:dyDescent="0.35">
      <c r="A43" s="8">
        <v>22042</v>
      </c>
      <c r="B43" s="8" t="s">
        <v>28</v>
      </c>
      <c r="C43" s="8" t="s">
        <v>10</v>
      </c>
      <c r="D43" s="9">
        <v>69</v>
      </c>
      <c r="E43" s="9">
        <v>79</v>
      </c>
      <c r="F43" s="9">
        <v>96</v>
      </c>
      <c r="G43" s="9">
        <f t="shared" si="0"/>
        <v>244</v>
      </c>
      <c r="H43" s="10">
        <f t="shared" si="1"/>
        <v>81.333333333333329</v>
      </c>
      <c r="I43" s="8" t="str">
        <f t="shared" si="3"/>
        <v>B+</v>
      </c>
    </row>
    <row r="44" spans="1:9" ht="18" x14ac:dyDescent="0.35">
      <c r="A44" s="8">
        <v>22043</v>
      </c>
      <c r="B44" s="8" t="s">
        <v>15</v>
      </c>
      <c r="C44" s="8" t="s">
        <v>10</v>
      </c>
      <c r="D44" s="9">
        <v>96</v>
      </c>
      <c r="E44" s="9">
        <v>68</v>
      </c>
      <c r="F44" s="9">
        <v>70</v>
      </c>
      <c r="G44" s="9">
        <f t="shared" si="0"/>
        <v>234</v>
      </c>
      <c r="H44" s="10">
        <f t="shared" si="1"/>
        <v>78</v>
      </c>
      <c r="I44" s="8" t="str">
        <f t="shared" si="3"/>
        <v>B+</v>
      </c>
    </row>
    <row r="45" spans="1:9" ht="18" x14ac:dyDescent="0.35">
      <c r="A45" s="8">
        <v>22044</v>
      </c>
      <c r="B45" s="8" t="s">
        <v>29</v>
      </c>
      <c r="C45" s="8" t="s">
        <v>10</v>
      </c>
      <c r="D45" s="9">
        <v>87</v>
      </c>
      <c r="E45" s="9">
        <v>67</v>
      </c>
      <c r="F45" s="9">
        <v>71</v>
      </c>
      <c r="G45" s="9">
        <f t="shared" si="0"/>
        <v>225</v>
      </c>
      <c r="H45" s="10">
        <f t="shared" si="1"/>
        <v>75</v>
      </c>
      <c r="I45" s="8" t="str">
        <f t="shared" si="3"/>
        <v>B+</v>
      </c>
    </row>
    <row r="46" spans="1:9" ht="18" x14ac:dyDescent="0.35">
      <c r="A46" s="8">
        <v>22045</v>
      </c>
      <c r="B46" s="8" t="s">
        <v>30</v>
      </c>
      <c r="C46" s="8" t="s">
        <v>10</v>
      </c>
      <c r="D46" s="9">
        <v>92</v>
      </c>
      <c r="E46" s="9">
        <v>55</v>
      </c>
      <c r="F46" s="9">
        <v>83</v>
      </c>
      <c r="G46" s="9">
        <f t="shared" si="0"/>
        <v>230</v>
      </c>
      <c r="H46" s="10">
        <f t="shared" si="1"/>
        <v>76.666666666666671</v>
      </c>
      <c r="I46" s="8" t="str">
        <f t="shared" si="3"/>
        <v>B+</v>
      </c>
    </row>
    <row r="47" spans="1:9" ht="18" x14ac:dyDescent="0.35">
      <c r="A47" s="8">
        <v>22046</v>
      </c>
      <c r="B47" s="8" t="s">
        <v>31</v>
      </c>
      <c r="C47" s="8" t="s">
        <v>9</v>
      </c>
      <c r="D47" s="9">
        <v>63</v>
      </c>
      <c r="E47" s="9">
        <v>98</v>
      </c>
      <c r="F47" s="9">
        <v>82</v>
      </c>
      <c r="G47" s="9">
        <f t="shared" si="0"/>
        <v>243</v>
      </c>
      <c r="H47" s="10">
        <f t="shared" si="1"/>
        <v>81</v>
      </c>
      <c r="I47" s="8" t="str">
        <f t="shared" si="3"/>
        <v>B+</v>
      </c>
    </row>
    <row r="48" spans="1:9" ht="18" x14ac:dyDescent="0.35">
      <c r="A48" s="8">
        <v>22047</v>
      </c>
      <c r="B48" s="8" t="s">
        <v>32</v>
      </c>
      <c r="C48" s="8" t="s">
        <v>9</v>
      </c>
      <c r="D48" s="9">
        <v>71</v>
      </c>
      <c r="E48" s="9">
        <v>92</v>
      </c>
      <c r="F48" s="9">
        <v>86</v>
      </c>
      <c r="G48" s="9">
        <f t="shared" si="0"/>
        <v>249</v>
      </c>
      <c r="H48" s="10">
        <f t="shared" si="1"/>
        <v>83</v>
      </c>
      <c r="I48" s="8" t="str">
        <f t="shared" si="3"/>
        <v>B+</v>
      </c>
    </row>
    <row r="49" spans="1:9" ht="18" x14ac:dyDescent="0.35">
      <c r="A49" s="8">
        <v>22048</v>
      </c>
      <c r="B49" s="8" t="s">
        <v>33</v>
      </c>
      <c r="C49" s="8" t="s">
        <v>9</v>
      </c>
      <c r="D49" s="9">
        <v>79</v>
      </c>
      <c r="E49" s="9">
        <v>93</v>
      </c>
      <c r="F49" s="9">
        <v>94</v>
      </c>
      <c r="G49" s="9">
        <f t="shared" si="0"/>
        <v>266</v>
      </c>
      <c r="H49" s="10">
        <f t="shared" si="1"/>
        <v>88.666666666666671</v>
      </c>
      <c r="I49" s="8" t="str">
        <f t="shared" si="3"/>
        <v>A</v>
      </c>
    </row>
    <row r="50" spans="1:9" ht="18" x14ac:dyDescent="0.35">
      <c r="A50" s="8">
        <v>22049</v>
      </c>
      <c r="B50" s="8" t="s">
        <v>34</v>
      </c>
      <c r="C50" s="8" t="s">
        <v>9</v>
      </c>
      <c r="D50" s="9">
        <v>72</v>
      </c>
      <c r="E50" s="9">
        <v>97</v>
      </c>
      <c r="F50" s="9">
        <v>77</v>
      </c>
      <c r="G50" s="9">
        <f t="shared" si="0"/>
        <v>246</v>
      </c>
      <c r="H50" s="10">
        <f t="shared" si="1"/>
        <v>82</v>
      </c>
      <c r="I50" s="8" t="str">
        <f t="shared" si="3"/>
        <v>B+</v>
      </c>
    </row>
    <row r="51" spans="1:9" ht="18" x14ac:dyDescent="0.35">
      <c r="A51" s="8">
        <v>22050</v>
      </c>
      <c r="B51" s="8" t="s">
        <v>35</v>
      </c>
      <c r="C51" s="8" t="s">
        <v>9</v>
      </c>
      <c r="D51" s="9">
        <v>88</v>
      </c>
      <c r="E51" s="9">
        <v>96</v>
      </c>
      <c r="F51" s="9">
        <v>55</v>
      </c>
      <c r="G51" s="9">
        <f t="shared" si="0"/>
        <v>239</v>
      </c>
      <c r="H51" s="10">
        <f t="shared" si="1"/>
        <v>79.666666666666671</v>
      </c>
      <c r="I51" s="8" t="str">
        <f t="shared" si="3"/>
        <v>B+</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8C4E-45A4-42B8-875A-02B204491D82}">
  <dimension ref="B2:L10"/>
  <sheetViews>
    <sheetView topLeftCell="A5" zoomScale="83" workbookViewId="0">
      <selection activeCell="P6" sqref="P6"/>
    </sheetView>
  </sheetViews>
  <sheetFormatPr defaultRowHeight="14.4" x14ac:dyDescent="0.3"/>
  <cols>
    <col min="2" max="2" width="19.88671875" bestFit="1" customWidth="1"/>
    <col min="3" max="3" width="23.88671875" bestFit="1" customWidth="1"/>
    <col min="4" max="4" width="11.109375" bestFit="1" customWidth="1"/>
    <col min="6" max="6" width="19.88671875" bestFit="1" customWidth="1"/>
    <col min="7" max="7" width="22.77734375" bestFit="1" customWidth="1"/>
    <col min="10" max="10" width="24.77734375" bestFit="1" customWidth="1"/>
    <col min="11" max="11" width="28.33203125" bestFit="1" customWidth="1"/>
    <col min="12" max="12" width="27.33203125" bestFit="1" customWidth="1"/>
    <col min="13" max="13" width="12.88671875" bestFit="1" customWidth="1"/>
  </cols>
  <sheetData>
    <row r="2" spans="2:12" s="11" customFormat="1" ht="23.4" x14ac:dyDescent="0.45">
      <c r="B2" s="11" t="s">
        <v>68</v>
      </c>
      <c r="F2" s="11" t="s">
        <v>67</v>
      </c>
      <c r="K2" s="11" t="s">
        <v>66</v>
      </c>
    </row>
    <row r="4" spans="2:12" ht="23.4" x14ac:dyDescent="0.45">
      <c r="F4" s="12" t="s">
        <v>54</v>
      </c>
      <c r="G4" s="13" t="s">
        <v>61</v>
      </c>
      <c r="J4" s="13" t="s">
        <v>63</v>
      </c>
      <c r="K4" s="13" t="s">
        <v>64</v>
      </c>
      <c r="L4" s="13" t="s">
        <v>65</v>
      </c>
    </row>
    <row r="5" spans="2:12" ht="23.4" x14ac:dyDescent="0.45">
      <c r="B5" s="12" t="s">
        <v>54</v>
      </c>
      <c r="C5" s="13" t="s">
        <v>62</v>
      </c>
      <c r="F5" s="14" t="s">
        <v>55</v>
      </c>
      <c r="G5" s="24">
        <v>7</v>
      </c>
      <c r="J5" s="16">
        <v>76.98</v>
      </c>
      <c r="K5" s="16">
        <v>79.28</v>
      </c>
      <c r="L5" s="16">
        <v>79.34</v>
      </c>
    </row>
    <row r="6" spans="2:12" ht="23.4" x14ac:dyDescent="0.45">
      <c r="B6" s="14" t="s">
        <v>10</v>
      </c>
      <c r="C6" s="15">
        <v>227.2608695652174</v>
      </c>
      <c r="F6" s="14" t="s">
        <v>56</v>
      </c>
      <c r="G6" s="24">
        <v>2</v>
      </c>
    </row>
    <row r="7" spans="2:12" ht="23.4" x14ac:dyDescent="0.45">
      <c r="B7" s="14" t="s">
        <v>9</v>
      </c>
      <c r="C7" s="15">
        <v>242.7037037037037</v>
      </c>
      <c r="F7" s="14" t="s">
        <v>57</v>
      </c>
      <c r="G7" s="24">
        <v>13</v>
      </c>
    </row>
    <row r="8" spans="2:12" ht="23.4" x14ac:dyDescent="0.45">
      <c r="B8" s="14" t="s">
        <v>60</v>
      </c>
      <c r="C8" s="15">
        <v>235.6</v>
      </c>
      <c r="F8" s="14" t="s">
        <v>58</v>
      </c>
      <c r="G8" s="24">
        <v>27</v>
      </c>
    </row>
    <row r="9" spans="2:12" ht="23.4" x14ac:dyDescent="0.45">
      <c r="F9" s="14" t="s">
        <v>59</v>
      </c>
      <c r="G9" s="24">
        <v>1</v>
      </c>
    </row>
    <row r="10" spans="2:12" ht="23.4" x14ac:dyDescent="0.45">
      <c r="F10" s="14" t="s">
        <v>60</v>
      </c>
      <c r="G10" s="24">
        <v>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193F-AA9C-45F4-891D-F59B35D5515E}">
  <dimension ref="B1:H5"/>
  <sheetViews>
    <sheetView showGridLines="0" tabSelected="1" topLeftCell="B5" zoomScale="75" workbookViewId="0">
      <selection activeCell="V47" sqref="V47"/>
    </sheetView>
  </sheetViews>
  <sheetFormatPr defaultRowHeight="14.4" x14ac:dyDescent="0.3"/>
  <cols>
    <col min="2" max="2" width="37.44140625" customWidth="1"/>
    <col min="3" max="3" width="13.109375" customWidth="1"/>
    <col min="4" max="4" width="41.88671875" customWidth="1"/>
    <col min="5" max="5" width="20.21875" customWidth="1"/>
    <col min="6" max="6" width="36" customWidth="1"/>
    <col min="7" max="7" width="18.33203125" customWidth="1"/>
    <col min="8" max="8" width="44" customWidth="1"/>
  </cols>
  <sheetData>
    <row r="1" spans="2:8" s="17" customFormat="1" ht="33.6" x14ac:dyDescent="0.65">
      <c r="E1" s="17" t="s">
        <v>73</v>
      </c>
    </row>
    <row r="2" spans="2:8" s="20" customFormat="1" ht="33.6" x14ac:dyDescent="0.65"/>
    <row r="4" spans="2:8" s="18" customFormat="1" ht="28.2" x14ac:dyDescent="0.55000000000000004">
      <c r="B4" s="21" t="s">
        <v>69</v>
      </c>
      <c r="D4" s="21" t="s">
        <v>70</v>
      </c>
      <c r="F4" s="21" t="s">
        <v>71</v>
      </c>
      <c r="H4" s="21" t="s">
        <v>72</v>
      </c>
    </row>
    <row r="5" spans="2:8" s="19" customFormat="1" ht="25.8" x14ac:dyDescent="0.5">
      <c r="B5" s="23">
        <f>COUNTA('Raw Data'!B2:B51)</f>
        <v>50</v>
      </c>
      <c r="D5" s="22">
        <f>AVERAGE('Raw Data'!G2:G51)</f>
        <v>235.6</v>
      </c>
      <c r="F5" s="22">
        <f>MAX('Raw Data'!G2:G51)</f>
        <v>283</v>
      </c>
      <c r="H5" s="22">
        <f>MIN('Raw Data'!G2:G51)</f>
        <v>165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Frooti Sinha</dc:creator>
  <cp:lastModifiedBy>Frooti Sinha</cp:lastModifiedBy>
  <dcterms:created xsi:type="dcterms:W3CDTF">2026-04-16T17:56:34Z</dcterms:created>
  <dcterms:modified xsi:type="dcterms:W3CDTF">2026-04-22T16:30:04Z</dcterms:modified>
</cp:coreProperties>
</file>